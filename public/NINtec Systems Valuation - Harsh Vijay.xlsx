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C5CF0C9C-7BC3-4EE0-8045-AED1B24DA7EC}" xr6:coauthVersionLast="47" xr6:coauthVersionMax="47" xr10:uidLastSave="{00000000-0000-0000-0000-000000000000}"/>
  <bookViews>
    <workbookView xWindow="-108" yWindow="-108" windowWidth="23256" windowHeight="12456" activeTab="4" xr2:uid="{4D4AC8B5-63AD-4A29-A13C-87BA1E8F32EF}"/>
  </bookViews>
  <sheets>
    <sheet name="Assumptions &amp; Thesis" sheetId="2" r:id="rId1"/>
    <sheet name="P&amp;L" sheetId="1" r:id="rId2"/>
    <sheet name="Balance Sheet" sheetId="3" r:id="rId3"/>
    <sheet name="Cash Flow" sheetId="4" r:id="rId4"/>
    <sheet name="DCF Valuation" sheetId="5" r:id="rId5"/>
    <sheet name="Comparable Valuation" sheetId="6" r:id="rId6"/>
  </sheets>
  <definedNames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'DCF Valuation'!$E$37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5" l="1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D37" i="6" l="1"/>
  <c r="C34" i="6"/>
  <c r="I13" i="4"/>
  <c r="H13" i="4"/>
  <c r="G13" i="4"/>
  <c r="F13" i="4"/>
  <c r="E13" i="4"/>
  <c r="D13" i="4"/>
  <c r="C13" i="4"/>
  <c r="B13" i="4"/>
  <c r="M22" i="1"/>
  <c r="L22" i="1"/>
  <c r="K22" i="1"/>
  <c r="J22" i="1"/>
  <c r="I22" i="1"/>
  <c r="H22" i="1"/>
  <c r="G22" i="1"/>
  <c r="F22" i="1"/>
  <c r="E22" i="1"/>
  <c r="D22" i="1"/>
  <c r="C22" i="1"/>
  <c r="B22" i="1"/>
  <c r="C18" i="6"/>
  <c r="D17" i="6"/>
  <c r="E17" i="6" s="1"/>
  <c r="B23" i="6" s="1"/>
  <c r="C17" i="6"/>
  <c r="B17" i="6"/>
  <c r="I13" i="6"/>
  <c r="H13" i="6"/>
  <c r="G13" i="6"/>
  <c r="F13" i="6"/>
  <c r="E13" i="6"/>
  <c r="D13" i="6"/>
  <c r="C13" i="6"/>
  <c r="B13" i="6"/>
  <c r="I12" i="6"/>
  <c r="H12" i="6"/>
  <c r="G12" i="6"/>
  <c r="F12" i="6"/>
  <c r="B18" i="6" s="1"/>
  <c r="D18" i="6" s="1"/>
  <c r="E18" i="6" s="1"/>
  <c r="B24" i="6" s="1"/>
  <c r="E12" i="6"/>
  <c r="D12" i="6"/>
  <c r="C12" i="6"/>
  <c r="B12" i="6"/>
  <c r="F11" i="5"/>
  <c r="B28" i="5"/>
  <c r="B25" i="5"/>
  <c r="B17" i="5"/>
  <c r="B18" i="5" s="1"/>
  <c r="B19" i="5" s="1"/>
  <c r="B23" i="5" s="1"/>
  <c r="F14" i="5"/>
  <c r="B22" i="5" s="1"/>
  <c r="B24" i="5" s="1"/>
  <c r="B27" i="5" s="1"/>
  <c r="E14" i="5"/>
  <c r="D14" i="5"/>
  <c r="C14" i="5"/>
  <c r="B14" i="5"/>
  <c r="F13" i="5"/>
  <c r="E13" i="5"/>
  <c r="D13" i="5"/>
  <c r="C13" i="5"/>
  <c r="B13" i="5"/>
  <c r="E11" i="5"/>
  <c r="D11" i="5"/>
  <c r="C11" i="5"/>
  <c r="B11" i="5"/>
  <c r="B8" i="5"/>
  <c r="B7" i="5"/>
  <c r="B6" i="5"/>
  <c r="B5" i="5"/>
  <c r="B4" i="5"/>
  <c r="I11" i="4"/>
  <c r="H11" i="4"/>
  <c r="G11" i="4"/>
  <c r="F11" i="4"/>
  <c r="E11" i="4"/>
  <c r="D11" i="4"/>
  <c r="C11" i="4"/>
  <c r="B11" i="4"/>
  <c r="I10" i="4"/>
  <c r="H10" i="4"/>
  <c r="G10" i="4"/>
  <c r="F10" i="4"/>
  <c r="E10" i="4"/>
  <c r="D10" i="4"/>
  <c r="C10" i="4"/>
  <c r="B10" i="4"/>
  <c r="I8" i="4"/>
  <c r="H8" i="4"/>
  <c r="G8" i="4"/>
  <c r="F8" i="4"/>
  <c r="E8" i="4"/>
  <c r="I7" i="4"/>
  <c r="H7" i="4"/>
  <c r="G7" i="4"/>
  <c r="F7" i="4"/>
  <c r="E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I3" i="4"/>
  <c r="H3" i="4"/>
  <c r="G3" i="4"/>
  <c r="F3" i="4"/>
  <c r="E3" i="4"/>
  <c r="D3" i="4"/>
  <c r="C3" i="4"/>
  <c r="B3" i="4"/>
  <c r="M7" i="1"/>
  <c r="L7" i="1"/>
  <c r="K7" i="1"/>
  <c r="J7" i="1"/>
  <c r="I7" i="1"/>
  <c r="H7" i="1"/>
  <c r="M6" i="1"/>
  <c r="L6" i="1"/>
  <c r="K6" i="1"/>
  <c r="J6" i="1"/>
  <c r="I6" i="1"/>
  <c r="H6" i="1"/>
  <c r="M3" i="1"/>
  <c r="L3" i="1"/>
  <c r="K3" i="1"/>
  <c r="J3" i="1"/>
  <c r="I3" i="1"/>
  <c r="H3" i="1"/>
  <c r="D20" i="3"/>
  <c r="C20" i="3"/>
  <c r="B20" i="3"/>
  <c r="D19" i="3"/>
  <c r="C19" i="3"/>
  <c r="B19" i="3"/>
  <c r="D18" i="3"/>
  <c r="C18" i="3"/>
  <c r="B18" i="3"/>
  <c r="D15" i="3"/>
  <c r="C15" i="3"/>
  <c r="B15" i="3"/>
  <c r="D9" i="3"/>
  <c r="C9" i="3"/>
  <c r="B9" i="3"/>
  <c r="E8" i="3"/>
  <c r="D6" i="3"/>
  <c r="C6" i="3"/>
  <c r="B6" i="3"/>
  <c r="C45" i="2"/>
  <c r="C44" i="2"/>
  <c r="G20" i="1"/>
  <c r="F20" i="1"/>
  <c r="E20" i="1"/>
  <c r="D20" i="1"/>
  <c r="G18" i="1"/>
  <c r="F18" i="1"/>
  <c r="E18" i="1"/>
  <c r="D18" i="1"/>
  <c r="C18" i="1"/>
  <c r="C20" i="1" s="1"/>
  <c r="B18" i="1"/>
  <c r="B20" i="1" s="1"/>
  <c r="G17" i="1"/>
  <c r="F17" i="1"/>
  <c r="E17" i="1"/>
  <c r="D17" i="1"/>
  <c r="C17" i="1"/>
  <c r="B17" i="1"/>
  <c r="G14" i="1"/>
  <c r="F14" i="1"/>
  <c r="E14" i="1"/>
  <c r="D14" i="1"/>
  <c r="C14" i="1"/>
  <c r="B14" i="1"/>
  <c r="G11" i="1"/>
  <c r="F11" i="1"/>
  <c r="E11" i="1"/>
  <c r="D11" i="1"/>
  <c r="C11" i="1"/>
  <c r="B11" i="1"/>
  <c r="G10" i="1"/>
  <c r="F10" i="1"/>
  <c r="E10" i="1"/>
  <c r="D10" i="1"/>
  <c r="C10" i="1"/>
  <c r="B10" i="1"/>
  <c r="G8" i="1"/>
  <c r="F8" i="1"/>
  <c r="E8" i="1"/>
  <c r="D8" i="1"/>
  <c r="C8" i="1"/>
  <c r="B8" i="1"/>
  <c r="F4" i="1"/>
  <c r="E4" i="1"/>
  <c r="D4" i="1"/>
  <c r="C4" i="1"/>
  <c r="H16" i="1"/>
  <c r="B29" i="5" l="1"/>
  <c r="B22" i="6"/>
  <c r="B32" i="6"/>
  <c r="D32" i="6" s="1"/>
  <c r="C24" i="6"/>
  <c r="D24" i="6" s="1"/>
  <c r="C23" i="6"/>
  <c r="D23" i="6" s="1"/>
  <c r="B33" i="6"/>
  <c r="D33" i="6" s="1"/>
  <c r="B21" i="1"/>
  <c r="C21" i="1"/>
  <c r="F21" i="1"/>
  <c r="D21" i="1"/>
  <c r="E21" i="1"/>
  <c r="G21" i="1"/>
  <c r="H13" i="1"/>
  <c r="E12" i="3" s="1"/>
  <c r="F8" i="3"/>
  <c r="H4" i="1"/>
  <c r="B31" i="6" l="1"/>
  <c r="D31" i="6" s="1"/>
  <c r="D36" i="6" s="1"/>
  <c r="D38" i="6" s="1"/>
  <c r="C22" i="6"/>
  <c r="D22" i="6" s="1"/>
  <c r="I16" i="1"/>
  <c r="G8" i="3"/>
  <c r="I4" i="1"/>
  <c r="I13" i="1"/>
  <c r="F12" i="3" s="1"/>
  <c r="H8" i="1"/>
  <c r="H10" i="1" s="1"/>
  <c r="I8" i="1" l="1"/>
  <c r="I10" i="1" s="1"/>
  <c r="I14" i="1" s="1"/>
  <c r="I17" i="1" s="1"/>
  <c r="H14" i="1"/>
  <c r="H17" i="1" s="1"/>
  <c r="H11" i="1"/>
  <c r="H8" i="3"/>
  <c r="J13" i="1"/>
  <c r="G12" i="3" s="1"/>
  <c r="J16" i="1"/>
  <c r="J4" i="1"/>
  <c r="I11" i="1" l="1"/>
  <c r="J8" i="1"/>
  <c r="J10" i="1" s="1"/>
  <c r="J14" i="1" s="1"/>
  <c r="J17" i="1" s="1"/>
  <c r="K13" i="1"/>
  <c r="H12" i="3" s="1"/>
  <c r="K4" i="1"/>
  <c r="K16" i="1"/>
  <c r="I8" i="3"/>
  <c r="H18" i="1"/>
  <c r="H20" i="1" s="1"/>
  <c r="I18" i="1"/>
  <c r="I20" i="1" s="1"/>
  <c r="E5" i="3" l="1"/>
  <c r="J11" i="1"/>
  <c r="I21" i="1"/>
  <c r="H21" i="1"/>
  <c r="L4" i="1"/>
  <c r="L16" i="1"/>
  <c r="L13" i="1"/>
  <c r="I12" i="3" s="1"/>
  <c r="K8" i="1"/>
  <c r="K10" i="1" s="1"/>
  <c r="J18" i="1"/>
  <c r="J20" i="1" s="1"/>
  <c r="F5" i="3" l="1"/>
  <c r="E6" i="3"/>
  <c r="L8" i="1"/>
  <c r="L10" i="1" s="1"/>
  <c r="L11" i="1" s="1"/>
  <c r="J21" i="1"/>
  <c r="L14" i="1"/>
  <c r="L17" i="1" s="1"/>
  <c r="K14" i="1"/>
  <c r="K17" i="1" s="1"/>
  <c r="K11" i="1"/>
  <c r="M4" i="1"/>
  <c r="M16" i="1"/>
  <c r="M13" i="1"/>
  <c r="E19" i="3" l="1"/>
  <c r="E9" i="3"/>
  <c r="E14" i="3" s="1"/>
  <c r="E18" i="3"/>
  <c r="F6" i="3"/>
  <c r="G5" i="3"/>
  <c r="M8" i="1"/>
  <c r="M10" i="1" s="1"/>
  <c r="M11" i="1" s="1"/>
  <c r="K18" i="1"/>
  <c r="K20" i="1" s="1"/>
  <c r="L18" i="1"/>
  <c r="L20" i="1" s="1"/>
  <c r="M14" i="1" l="1"/>
  <c r="M17" i="1" s="1"/>
  <c r="M18" i="1" s="1"/>
  <c r="M20" i="1" s="1"/>
  <c r="F9" i="3"/>
  <c r="F14" i="3" s="1"/>
  <c r="F19" i="3"/>
  <c r="F18" i="3"/>
  <c r="H5" i="3"/>
  <c r="G6" i="3"/>
  <c r="E20" i="3"/>
  <c r="E15" i="3"/>
  <c r="K21" i="1"/>
  <c r="L21" i="1"/>
  <c r="I5" i="3" l="1"/>
  <c r="I6" i="3" s="1"/>
  <c r="H6" i="3"/>
  <c r="F20" i="3"/>
  <c r="F15" i="3"/>
  <c r="G19" i="3"/>
  <c r="G9" i="3"/>
  <c r="G14" i="3" s="1"/>
  <c r="G18" i="3"/>
  <c r="M21" i="1"/>
  <c r="H19" i="3" l="1"/>
  <c r="H9" i="3"/>
  <c r="H14" i="3" s="1"/>
  <c r="H18" i="3"/>
  <c r="G20" i="3"/>
  <c r="G15" i="3"/>
  <c r="I19" i="3"/>
  <c r="I9" i="3"/>
  <c r="I14" i="3" s="1"/>
  <c r="I18" i="3"/>
  <c r="I20" i="3" l="1"/>
  <c r="I15" i="3"/>
  <c r="H20" i="3"/>
  <c r="H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3" authorId="0" shapeId="0" xr:uid="{AFD34C48-D30B-40F6-A4BD-D55C1749F26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 / Tickertape, https://www.tickertape.in/stocks/nintec-systems-NIN</t>
        </r>
      </text>
    </comment>
    <comment ref="C3" authorId="0" shapeId="0" xr:uid="{A154929F-DC78-4E44-BE99-9DABC02123D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https://www.screener.in/company/NINSYS/consolidated/</t>
        </r>
      </text>
    </comment>
    <comment ref="D3" authorId="0" shapeId="0" xr:uid="{EB6BA444-9652-40E3-91D6-80E6571327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https://www.screener.in/company/NINSYS/consolidated/</t>
        </r>
      </text>
    </comment>
    <comment ref="E3" authorId="0" shapeId="0" xr:uid="{4E97D3DA-39E0-42D0-8554-993134DAA43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https://www.screener.in/company/NINSYS/consolidated/</t>
        </r>
      </text>
    </comment>
    <comment ref="F3" authorId="0" shapeId="0" xr:uid="{B772B02C-CA7B-45C8-8BEF-16E5273AAFC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 / Tickertape, https://www.tickertape.in/stocks/nintec-systems-NIN</t>
        </r>
      </text>
    </comment>
    <comment ref="G3" authorId="0" shapeId="0" xr:uid="{F6DDED48-D417-4508-B742-25F486127E4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Whalesbook, https://www.whalesbook.com/news/English/tech/NINtec-Systems-Delivers-Robust-Q3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5" authorId="0" shapeId="0" xr:uid="{9F096E4A-3B06-4326-8293-0A92A44A1EF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MarketsMojo, https://www.marketsmojo.com/news/result-analysis/nintec-systems-q3-fy26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5" authorId="0" shapeId="0" xr:uid="{4567C411-56A1-4C05-87E7-1CA54C36297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https://www.screener.in/company/NINSYS/consolidated/</t>
        </r>
      </text>
    </comment>
    <comment ref="C5" authorId="0" shapeId="0" xr:uid="{343BD1A4-2945-4EB4-A9BE-78FFAF481C1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TTM; Source: multiple financial sites</t>
        </r>
      </text>
    </comment>
    <comment ref="E5" authorId="0" shapeId="0" xr:uid="{D305CAE1-46B7-424E-A6A1-5AE8FF33774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Tijori Finance, https://www.tijorifinance.com/company/nintec-systems-ltd/</t>
        </r>
      </text>
    </comment>
    <comment ref="F5" authorId="0" shapeId="0" xr:uid="{726F9571-B69E-4AFC-99DB-1D75D651B6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Tijori Finance, https://www.tijorifinance.com/company/nintec-systems-ltd/</t>
        </r>
      </text>
    </comment>
    <comment ref="B6" authorId="0" shapeId="0" xr:uid="{C2E51668-EFEC-4F16-9ED5-48CB6B7E9D4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https://www.screener.in/company/SILVERTUC/consolidated/</t>
        </r>
      </text>
    </comment>
  </commentList>
</comments>
</file>

<file path=xl/sharedStrings.xml><?xml version="1.0" encoding="utf-8"?>
<sst xmlns="http://schemas.openxmlformats.org/spreadsheetml/2006/main" count="272" uniqueCount="219">
  <si>
    <t>NINtec Systems Ltd - Consolidated Profit &amp; Loss Statement (₹ Cr)</t>
  </si>
  <si>
    <t>Particulars</t>
  </si>
  <si>
    <t>FY21A</t>
  </si>
  <si>
    <t>FY22A</t>
  </si>
  <si>
    <t>FY23A</t>
  </si>
  <si>
    <t>FY24A</t>
  </si>
  <si>
    <t>FY25A</t>
  </si>
  <si>
    <t>9M FY26A</t>
  </si>
  <si>
    <t>FY26E</t>
  </si>
  <si>
    <t>FY27E</t>
  </si>
  <si>
    <t>FY28E</t>
  </si>
  <si>
    <t>FY29E</t>
  </si>
  <si>
    <t>FY30E</t>
  </si>
  <si>
    <t>FY31E</t>
  </si>
  <si>
    <t>Revenue from Operations</t>
  </si>
  <si>
    <t>YoY Growth %</t>
  </si>
  <si>
    <t>Employee Benefit Expenses</t>
  </si>
  <si>
    <t>Other Expenses</t>
  </si>
  <si>
    <t>Total Operating Expenses</t>
  </si>
  <si>
    <t>EBITDA</t>
  </si>
  <si>
    <t>EBITDA Margin %</t>
  </si>
  <si>
    <t>Depreciation &amp; Amortization</t>
  </si>
  <si>
    <t>EBIT</t>
  </si>
  <si>
    <t>Interest Expense</t>
  </si>
  <si>
    <t>Other Income</t>
  </si>
  <si>
    <t>Profit Before Tax (PBT)</t>
  </si>
  <si>
    <t>Tax Expense</t>
  </si>
  <si>
    <t>Net Profit (PAT)</t>
  </si>
  <si>
    <t>PAT Margin %</t>
  </si>
  <si>
    <t>EPS (₹)</t>
  </si>
  <si>
    <t>INVESTMENT THESIS &amp; KEY OBSERVATIONS</t>
  </si>
  <si>
    <t>REVENUE GROWTH ASSUMPTIONS</t>
  </si>
  <si>
    <t>Year</t>
  </si>
  <si>
    <t>Growth Rate</t>
  </si>
  <si>
    <t>Rationale</t>
  </si>
  <si>
    <t>Revenue YoY Growth</t>
  </si>
  <si>
    <t>9M at 21.4% YoY run-rate; Q4 seasonal strength expected</t>
  </si>
  <si>
    <t>Organic: new client wins + deeper penetration in Fortune 500 base; AI/ML ramp</t>
  </si>
  <si>
    <t>Scale benefits; cybersecurity SOC + IoT contributions; gradual moderation</t>
  </si>
  <si>
    <t>Maturing revenue base; industry CAGR ~15-18%; cross-sell stabilizes</t>
  </si>
  <si>
    <t>Growth normalizing toward large IT services CAGR; base effect</t>
  </si>
  <si>
    <t>Terminal normalization; India IT services long-term CAGR ~10-12%</t>
  </si>
  <si>
    <t>EMPLOYEE COST (% of Revenue)</t>
  </si>
  <si>
    <t>Historical: 27-31% of revenue; improving trend in FY26 (28.8% in Q3)</t>
  </si>
  <si>
    <t>Employee Cost % of Revenue</t>
  </si>
  <si>
    <t>Improving utilization; 9M avg ~30.6%, Q3 dropped to 28.8%</t>
  </si>
  <si>
    <t>Scale economies; higher revenue per employee as mix shifts to AI/ML</t>
  </si>
  <si>
    <t>Offshore leverage; productivity gains from automation tools</t>
  </si>
  <si>
    <t>Stabilized at optimal level; wage inflation offset by mix improvement</t>
  </si>
  <si>
    <t>Continued scale; higher-value services reduce labor intensity</t>
  </si>
  <si>
    <t>Steady-state efficiency level</t>
  </si>
  <si>
    <t>OTHER EXPENSES (% of Revenue)</t>
  </si>
  <si>
    <t>Historical: 44-48%; includes subcontracting, SaaS tools, travel, facilities</t>
  </si>
  <si>
    <t>Other Expenses % of Revenue</t>
  </si>
  <si>
    <t>9M trend ~44.8%; subcontracting mix + infra costs</t>
  </si>
  <si>
    <t>Operating leverage kicks in; fixed cost absorption improves</t>
  </si>
  <si>
    <t>Optimization of subcontracting vs in-house mix</t>
  </si>
  <si>
    <t>Steady state; marginal improvements</t>
  </si>
  <si>
    <t>Normalized; travel &amp; facility costs proportional</t>
  </si>
  <si>
    <t>Marginal improvement from scale</t>
  </si>
  <si>
    <t>OTHER P&amp;L ASSUMPTIONS</t>
  </si>
  <si>
    <t>D&amp;A (% of Revenue)</t>
  </si>
  <si>
    <t>All years</t>
  </si>
  <si>
    <t>FY25 D&amp;A was 1.5% of rev; asset-light model keeps this low</t>
  </si>
  <si>
    <t>Other Income (% of Revenue)</t>
  </si>
  <si>
    <t>FY25: 1.6% of rev; interest on cash + treasury investments</t>
  </si>
  <si>
    <t>Effective Tax Rate</t>
  </si>
  <si>
    <t>Q3 FY26: 25.6%; Hist avg ~25%; new tax regime steady state</t>
  </si>
  <si>
    <t>DCF VALUATION ASSUMPTIONS</t>
  </si>
  <si>
    <t>Risk-Free Rate (10Y GOI bond)</t>
  </si>
  <si>
    <t>India 10Y Govt Bond yield ~7.1%</t>
  </si>
  <si>
    <t>Equity Risk Premium (India)</t>
  </si>
  <si>
    <t>Damodaran India ERP for emerging market IT</t>
  </si>
  <si>
    <t>Beta (Unlevered)</t>
  </si>
  <si>
    <t>Cost of Equity (Ke = Rf + β×ERP)</t>
  </si>
  <si>
    <t>CAPM model</t>
  </si>
  <si>
    <t>WACC (≈ Ke, near zero debt)</t>
  </si>
  <si>
    <t>Virtually no debt; WACC ≈ Cost of Equity</t>
  </si>
  <si>
    <t>Terminal Growth Rate (g)</t>
  </si>
  <si>
    <t>India nominal GDP growth; IT co can sustain ~5% perpetuity</t>
  </si>
  <si>
    <t>BALANCE SHEET &amp; CF ASSUMPTIONS</t>
  </si>
  <si>
    <t>Capex (% of Revenue)</t>
  </si>
  <si>
    <t>FY25 capex ~₹6 Cr on ₹140 rev = 4.3%; expect lower as asset-light</t>
  </si>
  <si>
    <t>Working Capital (Days of Revenue)</t>
  </si>
  <si>
    <t>Net WC ~ 90 days; receivables-heavy IT services typical</t>
  </si>
  <si>
    <t>Net Debt FY25 (₹ Cr)</t>
  </si>
  <si>
    <t>Net Cash position; Cash ₹26 Cr + investments &gt; debt of ₹2.1 Cr</t>
  </si>
  <si>
    <t>Shares Outstanding (Cr)</t>
  </si>
  <si>
    <t>~18.58 million shares; 0.15% dilution YoY negligible</t>
  </si>
  <si>
    <t>Current Market Price (₹)</t>
  </si>
  <si>
    <t>User-provided CMP</t>
  </si>
  <si>
    <t>INDUSTRY ANALYSIS: NICHE IT SERVICES (INDIA)</t>
  </si>
  <si>
    <t>Market Context</t>
  </si>
  <si>
    <t>India IT exports expected to grow at 12-15% CAGR through FY30; niche players in engineering services/AI/ML growing faster at 18-22% CAGR</t>
  </si>
  <si>
    <t>Competitive Position</t>
  </si>
  <si>
    <t>NINtec competes with Silver Touch, Onward Tech, Iris Business, Subex. Differentiation via Fortune 500 client access + multi-vertical expertise</t>
  </si>
  <si>
    <t>Industry Tailwinds</t>
  </si>
  <si>
    <t>Digital transformation spend rising; cloud migration; AI/ML adoption; cybersecurity mandates; work-from-anywhere enabling offshore delivery</t>
  </si>
  <si>
    <t>Industry Headwinds</t>
  </si>
  <si>
    <t>Global recession risk; tighter tech budgets at large enterprises; visa restrictions; attrition and wage inflation; AI displacing some low-end IT work</t>
  </si>
  <si>
    <t>Key Metrics (NINtec)</t>
  </si>
  <si>
    <t>Value</t>
  </si>
  <si>
    <t>Benchmark</t>
  </si>
  <si>
    <t>Comment</t>
  </si>
  <si>
    <t>5Y Revenue CAGR</t>
  </si>
  <si>
    <t>20-25%</t>
  </si>
  <si>
    <t>Exceptional but from very low base; normalizing</t>
  </si>
  <si>
    <t>EBITDA Margin</t>
  </si>
  <si>
    <t>18-28%</t>
  </si>
  <si>
    <t>Above avg; reflects offshore-heavy mix</t>
  </si>
  <si>
    <t>ROCE</t>
  </si>
  <si>
    <t>20-40%</t>
  </si>
  <si>
    <t>Exceptionally high; asset-light IT services model</t>
  </si>
  <si>
    <t>NINtec Systems Ltd - Consolidated Balance Sheet (₹ Cr)</t>
  </si>
  <si>
    <t>EQUITY &amp; LIABILITIES</t>
  </si>
  <si>
    <t>Share Capital</t>
  </si>
  <si>
    <t>Reserves &amp; Surplus</t>
  </si>
  <si>
    <t>Total Shareholders' Equity</t>
  </si>
  <si>
    <t>Long-Term Borrowings</t>
  </si>
  <si>
    <t>Current Liabilities</t>
  </si>
  <si>
    <t>Total Liabilities &amp; Equity</t>
  </si>
  <si>
    <t>ASSETS</t>
  </si>
  <si>
    <t>Fixed Assets (Net)</t>
  </si>
  <si>
    <t>Other Non-Current Assets</t>
  </si>
  <si>
    <t>Current Assets</t>
  </si>
  <si>
    <t>Total Assets</t>
  </si>
  <si>
    <t>KEY RATIOS</t>
  </si>
  <si>
    <t>ROE %</t>
  </si>
  <si>
    <t>Debt/Equity</t>
  </si>
  <si>
    <t>Current Ratio</t>
  </si>
  <si>
    <t>NINtec Systems Ltd - Free Cash Flow Build (₹ Cr)</t>
  </si>
  <si>
    <t>(-) Tax on EBIT</t>
  </si>
  <si>
    <t>NOPAT</t>
  </si>
  <si>
    <t>(+) Depreciation &amp; Amortization</t>
  </si>
  <si>
    <t>(-) Capex</t>
  </si>
  <si>
    <t>(-) Change in Working Capital</t>
  </si>
  <si>
    <t>Free Cash Flow (FCFF)</t>
  </si>
  <si>
    <t>FCFF Margin %</t>
  </si>
  <si>
    <t>FCFF per Share (₹)</t>
  </si>
  <si>
    <t>NINtec Systems Ltd - DCF Valuation</t>
  </si>
  <si>
    <t>DCF INPUTS (from Assumptions)</t>
  </si>
  <si>
    <t>WACC</t>
  </si>
  <si>
    <t>Terminal Growth Rate</t>
  </si>
  <si>
    <t>Net Debt (₹ Cr)</t>
  </si>
  <si>
    <t>CMP (₹)</t>
  </si>
  <si>
    <t>PROJECTED FREE CASH FLOWS</t>
  </si>
  <si>
    <t>FCFF (₹ Cr)</t>
  </si>
  <si>
    <t>Discount Period</t>
  </si>
  <si>
    <t>Discount Factor</t>
  </si>
  <si>
    <t>PV of FCFF</t>
  </si>
  <si>
    <t>TERMINAL VALUE CALCULATION</t>
  </si>
  <si>
    <t>Terminal Year FCFF (FY31E)</t>
  </si>
  <si>
    <t>Terminal Value = FCFF×(1+g)/(WACC-g)</t>
  </si>
  <si>
    <t>PV of Terminal Value</t>
  </si>
  <si>
    <t>VALUATION SUMMARY</t>
  </si>
  <si>
    <t>Sum of PV of FCFFs</t>
  </si>
  <si>
    <t>Enterprise Value</t>
  </si>
  <si>
    <t>(-) Net Debt (Add Net Cash)</t>
  </si>
  <si>
    <t>(+ve because net cash)</t>
  </si>
  <si>
    <t>Equity Value (₹ Cr)</t>
  </si>
  <si>
    <t>Implied Share Price (₹)</t>
  </si>
  <si>
    <t>Upside / (Downside)</t>
  </si>
  <si>
    <t>NINtec Systems Ltd - Comparable Company Analysis</t>
  </si>
  <si>
    <t>PEER COMPARISON TABLE</t>
  </si>
  <si>
    <t>Company</t>
  </si>
  <si>
    <t>Mkt Cap (₹ Cr)</t>
  </si>
  <si>
    <t>Revenue (₹ Cr)</t>
  </si>
  <si>
    <t>PAT (₹ Cr)</t>
  </si>
  <si>
    <t>P/E (TTM)</t>
  </si>
  <si>
    <t>EV/EBITDA</t>
  </si>
  <si>
    <t>P/B</t>
  </si>
  <si>
    <t>PAT Margin</t>
  </si>
  <si>
    <t>Rev CAGR (3Y)</t>
  </si>
  <si>
    <t>NINtec Systems</t>
  </si>
  <si>
    <t>Silver Touch Technologies</t>
  </si>
  <si>
    <t>Onward Technologies</t>
  </si>
  <si>
    <t>Iris Business Services</t>
  </si>
  <si>
    <t>Subex Ltd</t>
  </si>
  <si>
    <t>Allied Digital Services</t>
  </si>
  <si>
    <t>Peer Median (ex-NINtec)</t>
  </si>
  <si>
    <t>Peer Average (ex-NINtec)</t>
  </si>
  <si>
    <t>RELATIVE VALUATION - IMPLIED PRICE (₹)</t>
  </si>
  <si>
    <t>Method</t>
  </si>
  <si>
    <t>Peer Median Multiple</t>
  </si>
  <si>
    <t>NINtec FY27E Metric</t>
  </si>
  <si>
    <t>Implied Mkt Cap (₹ Cr)</t>
  </si>
  <si>
    <t>Implied Price (₹)</t>
  </si>
  <si>
    <t>P/E (FY27E)</t>
  </si>
  <si>
    <t>EV/EBITDA (FY27E)</t>
  </si>
  <si>
    <t>VALUATION FOOTBALL FIELD SUMMARY</t>
  </si>
  <si>
    <t>vs CMP of ₹324</t>
  </si>
  <si>
    <t>Verdict</t>
  </si>
  <si>
    <t>DCF (Base Case)</t>
  </si>
  <si>
    <t>Peer P/E Comps (FY27E)</t>
  </si>
  <si>
    <t>Peer EV/EBITDA Comps (FY27E)</t>
  </si>
  <si>
    <t>NOTE: Peer comps suggest NINtec trades at a significant discount to peers on FY27E earnings. This reflects:</t>
  </si>
  <si>
    <t>(a) Micro-cap liquidity discount, (b) Lower institutional ownership, (c) Growth deceleration from FY25 peak, (d) Higher execution risk at scale. The DCF provides a more conservative and realistic base-case valuation.</t>
  </si>
  <si>
    <t>NINtec Systems Ltd — Key Assumptions &amp; Investment Thesis</t>
  </si>
  <si>
    <t>📌  Editable assumptions are in blue font on yellow background  |  Black font = formulas/calculated  |  All values in ₹ Cr unless stated</t>
  </si>
  <si>
    <t>BLENDED FAIR VALUE PER SHARE</t>
  </si>
  <si>
    <t>Weight</t>
  </si>
  <si>
    <t>Weighted Value (₹)</t>
  </si>
  <si>
    <t>Rationale for Weight</t>
  </si>
  <si>
    <t>Most rigorous; company-specific FCFs; less distorted by peer noise</t>
  </si>
  <si>
    <t>Peer EV/EBITDA (FY27E)</t>
  </si>
  <si>
    <t>EV/EBITDA less sensitive to capital structure; relevant for asset-light IT</t>
  </si>
  <si>
    <t>Peer P/E (FY27E)</t>
  </si>
  <si>
    <t>Peer P/Es inflated (~40x median); applied at lower weight</t>
  </si>
  <si>
    <t>Weight Check</t>
  </si>
  <si>
    <t>Blended Fair Value (₹/share)</t>
  </si>
  <si>
    <t>Upside / (Downside) to CMP</t>
  </si>
  <si>
    <t>1. NINtec serves 30 Fortune 500 clients + 100 SMEs across 18 verticals (Auto, BFSI, Healthcare, Logistics). Deep client mining drives sticky revenue. Has a Netherlands subsidiary (NINtec Systems B.V.).</t>
  </si>
  <si>
    <t>2. FY25 revenue surged 68% YoY to ₹139.8 Cr driven by new enterprise wins + cross-selling. 9M FY26 consolidated revenue ₹123.8 Cr, up 21.4% YoY — growth moderating from peak but still healthy double-digit.</t>
  </si>
  <si>
    <t>3. Asset-light model: ROCE ~168%, ROE ~44%, D/E 0.03, Net cash ₹50 Cr. Minimal capex needs (~₹6 Cr on ₹140 Cr revenue). ~452 employees. Employee costs ~27-30% of revenue + subcontracting in Other Expenses.</t>
  </si>
  <si>
    <t>4. Expanding into AI/ML, IoT, Cybersecurity SOCs, Blockchain — aligning with high-growth digital transformation themes. Multi-year contracts provide revenue visibility.</t>
  </si>
  <si>
    <t>5. Key risks: Growth deceleration (9M FY26 PAT growth 23% vs FY25's 70%), small-cap with relatively low liquidity despite mainboard listing (migrated from SME to BSE/NSE mainboard in Feb 2023), nil dividend payout, client concentration risk, promoter-led (47.4%) with minimal institutional ownership.</t>
  </si>
  <si>
    <t>Small-cap mainboard IT services; higher than large-cap IT avg of 0.9 due to size/liquidity premium</t>
  </si>
  <si>
    <t>SENSITIVITY ANALYSIS: Implied Share Price (₹)  [WACC vs Terminal Growth Rate]</t>
  </si>
  <si>
    <t>WACC\TGR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</si>
</sst>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#,##0.0%"/>
    <numFmt numFmtId="167" formatCode="0.0000"/>
    <numFmt numFmtId="168" formatCode="#,##0.0"/>
    <numFmt numFmtId="169" formatCode="0.0\x"/>
  </numFmts>
  <fonts count="24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ED7D31"/>
      <name val="Calibri"/>
      <family val="2"/>
      <scheme val="minor"/>
    </font>
    <font>
      <b/>
      <sz val="10"/>
      <color rgb="FFED7D31"/>
      <name val="Calibri"/>
      <family val="2"/>
      <scheme val="minor"/>
    </font>
    <font>
      <b/>
      <i/>
      <sz val="9"/>
      <color rgb="FF80808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4" fontId="3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7" fillId="0" borderId="0" xfId="0" applyNumberFormat="1" applyFont="1"/>
    <xf numFmtId="4" fontId="4" fillId="0" borderId="0" xfId="0" applyNumberFormat="1" applyFont="1"/>
    <xf numFmtId="0" fontId="10" fillId="0" borderId="0" xfId="0" applyFont="1"/>
    <xf numFmtId="4" fontId="10" fillId="0" borderId="0" xfId="0" applyNumberFormat="1" applyFont="1"/>
    <xf numFmtId="4" fontId="11" fillId="0" borderId="0" xfId="0" applyNumberFormat="1" applyFont="1"/>
    <xf numFmtId="0" fontId="12" fillId="0" borderId="0" xfId="0" applyFont="1"/>
    <xf numFmtId="0" fontId="12" fillId="4" borderId="0" xfId="0" applyFont="1" applyFill="1"/>
    <xf numFmtId="4" fontId="12" fillId="4" borderId="0" xfId="0" applyNumberFormat="1" applyFont="1" applyFill="1"/>
    <xf numFmtId="0" fontId="13" fillId="0" borderId="0" xfId="0" applyFont="1"/>
    <xf numFmtId="0" fontId="14" fillId="5" borderId="0" xfId="0" applyFont="1" applyFill="1"/>
    <xf numFmtId="0" fontId="0" fillId="5" borderId="0" xfId="0" applyFill="1"/>
    <xf numFmtId="0" fontId="15" fillId="2" borderId="0" xfId="0" applyFont="1" applyFill="1"/>
    <xf numFmtId="0" fontId="3" fillId="0" borderId="0" xfId="0" applyFont="1" applyAlignment="1">
      <alignment horizontal="center"/>
    </xf>
    <xf numFmtId="164" fontId="11" fillId="6" borderId="0" xfId="0" applyNumberFormat="1" applyFont="1" applyFill="1" applyAlignment="1">
      <alignment horizontal="center"/>
    </xf>
    <xf numFmtId="0" fontId="0" fillId="2" borderId="0" xfId="0" applyFill="1"/>
    <xf numFmtId="0" fontId="16" fillId="2" borderId="0" xfId="0" applyFont="1" applyFill="1"/>
    <xf numFmtId="0" fontId="15" fillId="5" borderId="0" xfId="0" applyFont="1" applyFill="1"/>
    <xf numFmtId="2" fontId="11" fillId="6" borderId="0" xfId="0" applyNumberFormat="1" applyFont="1" applyFill="1" applyAlignment="1">
      <alignment horizontal="center"/>
    </xf>
    <xf numFmtId="10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7" borderId="0" xfId="0" applyFont="1" applyFill="1"/>
    <xf numFmtId="0" fontId="0" fillId="7" borderId="0" xfId="0" applyFill="1"/>
    <xf numFmtId="1" fontId="11" fillId="6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3" fontId="11" fillId="6" borderId="0" xfId="0" applyNumberFormat="1" applyFont="1" applyFill="1" applyAlignment="1">
      <alignment horizontal="center"/>
    </xf>
    <xf numFmtId="0" fontId="15" fillId="8" borderId="0" xfId="0" applyFont="1" applyFill="1"/>
    <xf numFmtId="0" fontId="0" fillId="8" borderId="0" xfId="0" applyFill="1"/>
    <xf numFmtId="9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4" fillId="10" borderId="0" xfId="0" applyFont="1" applyFill="1"/>
    <xf numFmtId="0" fontId="0" fillId="10" borderId="0" xfId="0" applyFill="1"/>
    <xf numFmtId="4" fontId="4" fillId="10" borderId="0" xfId="0" applyNumberFormat="1" applyFont="1" applyFill="1"/>
    <xf numFmtId="164" fontId="3" fillId="0" borderId="0" xfId="0" applyNumberFormat="1" applyFont="1"/>
    <xf numFmtId="2" fontId="3" fillId="0" borderId="0" xfId="0" applyNumberFormat="1" applyFont="1"/>
    <xf numFmtId="0" fontId="2" fillId="8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17" fillId="12" borderId="0" xfId="0" applyFont="1" applyFill="1"/>
    <xf numFmtId="4" fontId="17" fillId="12" borderId="0" xfId="0" applyNumberFormat="1" applyFont="1" applyFill="1"/>
    <xf numFmtId="166" fontId="7" fillId="0" borderId="0" xfId="0" applyNumberFormat="1" applyFont="1"/>
    <xf numFmtId="0" fontId="18" fillId="0" borderId="0" xfId="0" applyFont="1"/>
    <xf numFmtId="165" fontId="4" fillId="0" borderId="0" xfId="0" applyNumberFormat="1" applyFont="1"/>
    <xf numFmtId="3" fontId="4" fillId="0" borderId="0" xfId="0" applyNumberFormat="1" applyFont="1"/>
    <xf numFmtId="0" fontId="2" fillId="5" borderId="0" xfId="0" applyFont="1" applyFill="1" applyAlignment="1">
      <alignment horizontal="center"/>
    </xf>
    <xf numFmtId="167" fontId="3" fillId="0" borderId="0" xfId="0" applyNumberFormat="1" applyFont="1"/>
    <xf numFmtId="0" fontId="19" fillId="13" borderId="0" xfId="0" applyFont="1" applyFill="1"/>
    <xf numFmtId="4" fontId="19" fillId="13" borderId="0" xfId="0" applyNumberFormat="1" applyFont="1" applyFill="1"/>
    <xf numFmtId="0" fontId="20" fillId="13" borderId="0" xfId="0" applyFont="1" applyFill="1"/>
    <xf numFmtId="3" fontId="20" fillId="13" borderId="0" xfId="0" applyNumberFormat="1" applyFont="1" applyFill="1"/>
    <xf numFmtId="3" fontId="3" fillId="0" borderId="0" xfId="0" applyNumberFormat="1" applyFont="1"/>
    <xf numFmtId="164" fontId="12" fillId="0" borderId="0" xfId="0" applyNumberFormat="1" applyFont="1"/>
    <xf numFmtId="3" fontId="3" fillId="0" borderId="0" xfId="0" applyNumberFormat="1" applyFont="1" applyAlignment="1">
      <alignment horizontal="center"/>
    </xf>
    <xf numFmtId="0" fontId="21" fillId="0" borderId="0" xfId="0" applyFont="1"/>
    <xf numFmtId="0" fontId="15" fillId="15" borderId="0" xfId="0" applyFont="1" applyFill="1"/>
    <xf numFmtId="0" fontId="0" fillId="15" borderId="0" xfId="0" applyFill="1"/>
    <xf numFmtId="0" fontId="4" fillId="16" borderId="0" xfId="0" applyFont="1" applyFill="1"/>
    <xf numFmtId="0" fontId="4" fillId="16" borderId="0" xfId="0" applyFont="1" applyFill="1" applyAlignment="1">
      <alignment horizontal="center"/>
    </xf>
    <xf numFmtId="0" fontId="22" fillId="0" borderId="0" xfId="0" applyFont="1"/>
    <xf numFmtId="168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17" borderId="0" xfId="0" applyFont="1" applyFill="1"/>
    <xf numFmtId="3" fontId="4" fillId="17" borderId="0" xfId="0" applyNumberFormat="1" applyFont="1" applyFill="1" applyAlignment="1">
      <alignment horizontal="center"/>
    </xf>
    <xf numFmtId="168" fontId="4" fillId="17" borderId="0" xfId="0" applyNumberFormat="1" applyFont="1" applyFill="1" applyAlignment="1">
      <alignment horizontal="center"/>
    </xf>
    <xf numFmtId="169" fontId="4" fillId="17" borderId="0" xfId="0" applyNumberFormat="1" applyFont="1" applyFill="1" applyAlignment="1">
      <alignment horizontal="center"/>
    </xf>
    <xf numFmtId="164" fontId="4" fillId="17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23" fillId="0" borderId="0" xfId="0" applyFont="1"/>
    <xf numFmtId="0" fontId="14" fillId="2" borderId="0" xfId="0" applyFont="1" applyFill="1"/>
    <xf numFmtId="0" fontId="4" fillId="4" borderId="0" xfId="0" applyFont="1" applyFill="1" applyAlignment="1">
      <alignment horizontal="center"/>
    </xf>
    <xf numFmtId="9" fontId="11" fillId="6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1" fillId="4" borderId="0" xfId="0" applyFont="1" applyFill="1"/>
    <xf numFmtId="3" fontId="1" fillId="4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left"/>
    </xf>
    <xf numFmtId="0" fontId="4" fillId="16" borderId="0" xfId="0" applyFont="1" applyFill="1" applyAlignment="1">
      <alignment horizontal="left"/>
    </xf>
    <xf numFmtId="0" fontId="3" fillId="0" borderId="0" xfId="0" applyFont="1" applyFill="1"/>
    <xf numFmtId="3" fontId="3" fillId="0" borderId="1" xfId="0" applyNumberFormat="1" applyFont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64" fontId="4" fillId="14" borderId="2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4" fillId="14" borderId="4" xfId="0" applyNumberFormat="1" applyFont="1" applyFill="1" applyBorder="1" applyAlignment="1">
      <alignment horizontal="center"/>
    </xf>
    <xf numFmtId="164" fontId="4" fillId="14" borderId="5" xfId="0" applyNumberFormat="1" applyFont="1" applyFill="1" applyBorder="1" applyAlignment="1">
      <alignment horizontal="center"/>
    </xf>
    <xf numFmtId="164" fontId="4" fillId="6" borderId="5" xfId="0" applyNumberFormat="1" applyFont="1" applyFill="1" applyBorder="1" applyAlignment="1">
      <alignment horizontal="center"/>
    </xf>
    <xf numFmtId="164" fontId="4" fillId="14" borderId="6" xfId="0" applyNumberFormat="1" applyFont="1" applyFill="1" applyBorder="1" applyAlignment="1">
      <alignment horizontal="center"/>
    </xf>
    <xf numFmtId="164" fontId="4" fillId="14" borderId="7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294CAC-8BA6-4237-BED0-7DBD0BF28158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B6BA-CB83-4196-A08E-1D040DB6EBCC}">
  <sheetPr>
    <tabColor rgb="FFFFC000"/>
  </sheetPr>
  <dimension ref="A1:E63"/>
  <sheetViews>
    <sheetView topLeftCell="A27" workbookViewId="0">
      <selection activeCell="G10" sqref="G10"/>
    </sheetView>
  </sheetViews>
  <sheetFormatPr defaultRowHeight="14.4" x14ac:dyDescent="0.3"/>
  <cols>
    <col min="1" max="1" width="44.44140625" customWidth="1"/>
    <col min="4" max="4" width="70.33203125" customWidth="1"/>
  </cols>
  <sheetData>
    <row r="1" spans="1:5" ht="18" x14ac:dyDescent="0.35">
      <c r="A1" s="18" t="s">
        <v>197</v>
      </c>
    </row>
    <row r="2" spans="1:5" x14ac:dyDescent="0.3">
      <c r="A2" s="8" t="s">
        <v>198</v>
      </c>
    </row>
    <row r="3" spans="1:5" ht="15.6" x14ac:dyDescent="0.3">
      <c r="A3" s="19" t="s">
        <v>30</v>
      </c>
      <c r="B3" s="20"/>
      <c r="C3" s="20"/>
      <c r="D3" s="20"/>
      <c r="E3" s="20"/>
    </row>
    <row r="4" spans="1:5" x14ac:dyDescent="0.3">
      <c r="A4" s="4" t="s">
        <v>211</v>
      </c>
    </row>
    <row r="5" spans="1:5" x14ac:dyDescent="0.3">
      <c r="A5" s="4" t="s">
        <v>212</v>
      </c>
    </row>
    <row r="6" spans="1:5" x14ac:dyDescent="0.3">
      <c r="A6" s="4" t="s">
        <v>213</v>
      </c>
    </row>
    <row r="7" spans="1:5" x14ac:dyDescent="0.3">
      <c r="A7" s="4" t="s">
        <v>214</v>
      </c>
    </row>
    <row r="8" spans="1:5" x14ac:dyDescent="0.3">
      <c r="A8" s="93" t="s">
        <v>215</v>
      </c>
    </row>
    <row r="10" spans="1:5" x14ac:dyDescent="0.3">
      <c r="A10" s="21" t="s">
        <v>31</v>
      </c>
      <c r="B10" s="2" t="s">
        <v>32</v>
      </c>
      <c r="C10" s="2" t="s">
        <v>33</v>
      </c>
      <c r="D10" s="2" t="s">
        <v>34</v>
      </c>
    </row>
    <row r="11" spans="1:5" x14ac:dyDescent="0.3">
      <c r="A11" s="4" t="s">
        <v>35</v>
      </c>
      <c r="B11" s="22" t="s">
        <v>8</v>
      </c>
      <c r="C11" s="23">
        <v>0.22</v>
      </c>
      <c r="D11" s="9" t="s">
        <v>36</v>
      </c>
    </row>
    <row r="12" spans="1:5" x14ac:dyDescent="0.3">
      <c r="A12" s="4"/>
      <c r="B12" s="22" t="s">
        <v>9</v>
      </c>
      <c r="C12" s="23">
        <v>0.2</v>
      </c>
      <c r="D12" s="9" t="s">
        <v>37</v>
      </c>
    </row>
    <row r="13" spans="1:5" x14ac:dyDescent="0.3">
      <c r="A13" s="4"/>
      <c r="B13" s="22" t="s">
        <v>10</v>
      </c>
      <c r="C13" s="23">
        <v>0.18</v>
      </c>
      <c r="D13" s="9" t="s">
        <v>38</v>
      </c>
    </row>
    <row r="14" spans="1:5" x14ac:dyDescent="0.3">
      <c r="A14" s="4"/>
      <c r="B14" s="22" t="s">
        <v>11</v>
      </c>
      <c r="C14" s="23">
        <v>0.16</v>
      </c>
      <c r="D14" s="9" t="s">
        <v>39</v>
      </c>
    </row>
    <row r="15" spans="1:5" x14ac:dyDescent="0.3">
      <c r="A15" s="4"/>
      <c r="B15" s="22" t="s">
        <v>12</v>
      </c>
      <c r="C15" s="23">
        <v>0.14000000000000001</v>
      </c>
      <c r="D15" s="9" t="s">
        <v>40</v>
      </c>
    </row>
    <row r="16" spans="1:5" x14ac:dyDescent="0.3">
      <c r="B16" s="22" t="s">
        <v>13</v>
      </c>
      <c r="C16" s="23">
        <v>0.12</v>
      </c>
      <c r="D16" s="9" t="s">
        <v>41</v>
      </c>
    </row>
    <row r="17" spans="1:4" x14ac:dyDescent="0.3">
      <c r="A17" s="21" t="s">
        <v>42</v>
      </c>
      <c r="B17" s="24"/>
      <c r="C17" s="24"/>
      <c r="D17" s="25" t="s">
        <v>43</v>
      </c>
    </row>
    <row r="18" spans="1:4" x14ac:dyDescent="0.3">
      <c r="A18" s="4" t="s">
        <v>44</v>
      </c>
      <c r="B18" s="22" t="s">
        <v>8</v>
      </c>
      <c r="C18" s="23">
        <v>0.28499999999999998</v>
      </c>
      <c r="D18" s="9" t="s">
        <v>45</v>
      </c>
    </row>
    <row r="19" spans="1:4" x14ac:dyDescent="0.3">
      <c r="A19" s="4"/>
      <c r="B19" s="22" t="s">
        <v>9</v>
      </c>
      <c r="C19" s="23">
        <v>0.28000000000000003</v>
      </c>
      <c r="D19" s="9" t="s">
        <v>46</v>
      </c>
    </row>
    <row r="20" spans="1:4" x14ac:dyDescent="0.3">
      <c r="A20" s="4"/>
      <c r="B20" s="22" t="s">
        <v>10</v>
      </c>
      <c r="C20" s="23">
        <v>0.27500000000000002</v>
      </c>
      <c r="D20" s="9" t="s">
        <v>47</v>
      </c>
    </row>
    <row r="21" spans="1:4" x14ac:dyDescent="0.3">
      <c r="A21" s="4"/>
      <c r="B21" s="22" t="s">
        <v>11</v>
      </c>
      <c r="C21" s="23">
        <v>0.27500000000000002</v>
      </c>
      <c r="D21" s="9" t="s">
        <v>48</v>
      </c>
    </row>
    <row r="22" spans="1:4" x14ac:dyDescent="0.3">
      <c r="A22" s="4"/>
      <c r="B22" s="22" t="s">
        <v>12</v>
      </c>
      <c r="C22" s="23">
        <v>0.27</v>
      </c>
      <c r="D22" s="9" t="s">
        <v>49</v>
      </c>
    </row>
    <row r="23" spans="1:4" x14ac:dyDescent="0.3">
      <c r="A23" s="4"/>
      <c r="B23" s="22" t="s">
        <v>13</v>
      </c>
      <c r="C23" s="23">
        <v>0.27</v>
      </c>
      <c r="D23" s="9" t="s">
        <v>50</v>
      </c>
    </row>
    <row r="25" spans="1:4" x14ac:dyDescent="0.3">
      <c r="A25" s="21" t="s">
        <v>51</v>
      </c>
      <c r="B25" s="24"/>
      <c r="C25" s="24"/>
      <c r="D25" s="25" t="s">
        <v>52</v>
      </c>
    </row>
    <row r="26" spans="1:4" x14ac:dyDescent="0.3">
      <c r="A26" s="4" t="s">
        <v>53</v>
      </c>
      <c r="B26" s="22" t="s">
        <v>8</v>
      </c>
      <c r="C26" s="23">
        <v>0.45500000000000002</v>
      </c>
      <c r="D26" s="9" t="s">
        <v>54</v>
      </c>
    </row>
    <row r="27" spans="1:4" x14ac:dyDescent="0.3">
      <c r="A27" s="4"/>
      <c r="B27" s="22" t="s">
        <v>9</v>
      </c>
      <c r="C27" s="23">
        <v>0.45</v>
      </c>
      <c r="D27" s="9" t="s">
        <v>55</v>
      </c>
    </row>
    <row r="28" spans="1:4" x14ac:dyDescent="0.3">
      <c r="A28" s="4"/>
      <c r="B28" s="22" t="s">
        <v>10</v>
      </c>
      <c r="C28" s="23">
        <v>0.44500000000000001</v>
      </c>
      <c r="D28" s="9" t="s">
        <v>56</v>
      </c>
    </row>
    <row r="29" spans="1:4" x14ac:dyDescent="0.3">
      <c r="A29" s="4"/>
      <c r="B29" s="22" t="s">
        <v>11</v>
      </c>
      <c r="C29" s="23">
        <v>0.44</v>
      </c>
      <c r="D29" s="9" t="s">
        <v>57</v>
      </c>
    </row>
    <row r="30" spans="1:4" x14ac:dyDescent="0.3">
      <c r="A30" s="4"/>
      <c r="B30" s="22" t="s">
        <v>12</v>
      </c>
      <c r="C30" s="23">
        <v>0.44</v>
      </c>
      <c r="D30" s="9" t="s">
        <v>58</v>
      </c>
    </row>
    <row r="31" spans="1:4" x14ac:dyDescent="0.3">
      <c r="A31" s="4"/>
      <c r="B31" s="22" t="s">
        <v>13</v>
      </c>
      <c r="C31" s="23">
        <v>0.435</v>
      </c>
      <c r="D31" s="9" t="s">
        <v>59</v>
      </c>
    </row>
    <row r="33" spans="1:4" x14ac:dyDescent="0.3">
      <c r="A33" s="21" t="s">
        <v>60</v>
      </c>
      <c r="B33" s="24"/>
      <c r="C33" s="24"/>
      <c r="D33" s="24"/>
    </row>
    <row r="34" spans="1:4" x14ac:dyDescent="0.3">
      <c r="A34" s="4" t="s">
        <v>61</v>
      </c>
      <c r="B34" s="22" t="s">
        <v>62</v>
      </c>
      <c r="C34" s="23">
        <v>1.4999999999999999E-2</v>
      </c>
      <c r="D34" s="9" t="s">
        <v>63</v>
      </c>
    </row>
    <row r="35" spans="1:4" x14ac:dyDescent="0.3">
      <c r="A35" s="4"/>
    </row>
    <row r="36" spans="1:4" x14ac:dyDescent="0.3">
      <c r="A36" s="4" t="s">
        <v>64</v>
      </c>
      <c r="B36" s="22" t="s">
        <v>62</v>
      </c>
      <c r="C36" s="23">
        <v>1.4999999999999999E-2</v>
      </c>
      <c r="D36" s="9" t="s">
        <v>65</v>
      </c>
    </row>
    <row r="37" spans="1:4" x14ac:dyDescent="0.3">
      <c r="A37" s="4"/>
    </row>
    <row r="38" spans="1:4" x14ac:dyDescent="0.3">
      <c r="A38" s="4" t="s">
        <v>66</v>
      </c>
      <c r="B38" s="22" t="s">
        <v>62</v>
      </c>
      <c r="C38" s="23">
        <v>0.25</v>
      </c>
      <c r="D38" s="9" t="s">
        <v>67</v>
      </c>
    </row>
    <row r="40" spans="1:4" x14ac:dyDescent="0.3">
      <c r="A40" s="26" t="s">
        <v>68</v>
      </c>
      <c r="B40" s="20"/>
      <c r="C40" s="20"/>
      <c r="D40" s="20"/>
    </row>
    <row r="41" spans="1:4" x14ac:dyDescent="0.3">
      <c r="A41" s="4" t="s">
        <v>69</v>
      </c>
      <c r="C41" s="23">
        <v>7.0999999999999994E-2</v>
      </c>
      <c r="D41" s="9" t="s">
        <v>70</v>
      </c>
    </row>
    <row r="42" spans="1:4" x14ac:dyDescent="0.3">
      <c r="A42" s="4" t="s">
        <v>71</v>
      </c>
      <c r="C42" s="23">
        <v>6.5000000000000002E-2</v>
      </c>
      <c r="D42" s="9" t="s">
        <v>72</v>
      </c>
    </row>
    <row r="43" spans="1:4" x14ac:dyDescent="0.3">
      <c r="A43" s="4" t="s">
        <v>73</v>
      </c>
      <c r="C43" s="27">
        <v>1.1499999999999999</v>
      </c>
      <c r="D43" s="9" t="s">
        <v>216</v>
      </c>
    </row>
    <row r="44" spans="1:4" x14ac:dyDescent="0.3">
      <c r="A44" s="5" t="s">
        <v>74</v>
      </c>
      <c r="C44" s="29">
        <f>C41+C43*C42</f>
        <v>0.14574999999999999</v>
      </c>
      <c r="D44" s="9" t="s">
        <v>75</v>
      </c>
    </row>
    <row r="45" spans="1:4" x14ac:dyDescent="0.3">
      <c r="A45" s="5" t="s">
        <v>76</v>
      </c>
      <c r="C45" s="29">
        <f>C44</f>
        <v>0.14574999999999999</v>
      </c>
      <c r="D45" s="9" t="s">
        <v>77</v>
      </c>
    </row>
    <row r="46" spans="1:4" x14ac:dyDescent="0.3">
      <c r="A46" s="4" t="s">
        <v>78</v>
      </c>
      <c r="C46" s="23">
        <v>0.05</v>
      </c>
      <c r="D46" s="9" t="s">
        <v>79</v>
      </c>
    </row>
    <row r="47" spans="1:4" x14ac:dyDescent="0.3">
      <c r="A47" s="4"/>
    </row>
    <row r="48" spans="1:4" x14ac:dyDescent="0.3">
      <c r="A48" s="31" t="s">
        <v>80</v>
      </c>
      <c r="B48" s="32"/>
      <c r="C48" s="32"/>
      <c r="D48" s="32"/>
    </row>
    <row r="49" spans="1:4" x14ac:dyDescent="0.3">
      <c r="A49" s="4" t="s">
        <v>81</v>
      </c>
      <c r="C49" s="23">
        <v>3.5000000000000003E-2</v>
      </c>
      <c r="D49" s="9" t="s">
        <v>82</v>
      </c>
    </row>
    <row r="50" spans="1:4" x14ac:dyDescent="0.3">
      <c r="A50" s="4" t="s">
        <v>83</v>
      </c>
      <c r="C50" s="33">
        <v>90</v>
      </c>
      <c r="D50" s="9" t="s">
        <v>84</v>
      </c>
    </row>
    <row r="51" spans="1:4" x14ac:dyDescent="0.3">
      <c r="A51" s="4" t="s">
        <v>85</v>
      </c>
      <c r="C51" s="34">
        <v>-50.22</v>
      </c>
      <c r="D51" s="9" t="s">
        <v>86</v>
      </c>
    </row>
    <row r="52" spans="1:4" x14ac:dyDescent="0.3">
      <c r="A52" s="4" t="s">
        <v>87</v>
      </c>
      <c r="C52" s="35">
        <v>1.8580000000000001</v>
      </c>
      <c r="D52" s="9" t="s">
        <v>88</v>
      </c>
    </row>
    <row r="53" spans="1:4" x14ac:dyDescent="0.3">
      <c r="A53" s="4" t="s">
        <v>89</v>
      </c>
      <c r="C53" s="36">
        <v>324</v>
      </c>
      <c r="D53" s="9" t="s">
        <v>90</v>
      </c>
    </row>
    <row r="55" spans="1:4" x14ac:dyDescent="0.3">
      <c r="A55" s="37" t="s">
        <v>91</v>
      </c>
      <c r="B55" s="38"/>
      <c r="C55" s="38"/>
      <c r="D55" s="38"/>
    </row>
    <row r="56" spans="1:4" x14ac:dyDescent="0.3">
      <c r="A56" s="5" t="s">
        <v>92</v>
      </c>
      <c r="B56" s="9" t="s">
        <v>93</v>
      </c>
    </row>
    <row r="57" spans="1:4" x14ac:dyDescent="0.3">
      <c r="A57" s="5" t="s">
        <v>94</v>
      </c>
      <c r="B57" s="9" t="s">
        <v>95</v>
      </c>
    </row>
    <row r="58" spans="1:4" x14ac:dyDescent="0.3">
      <c r="A58" s="5" t="s">
        <v>96</v>
      </c>
      <c r="B58" s="9" t="s">
        <v>97</v>
      </c>
    </row>
    <row r="59" spans="1:4" x14ac:dyDescent="0.3">
      <c r="A59" s="5" t="s">
        <v>98</v>
      </c>
      <c r="B59" s="9" t="s">
        <v>99</v>
      </c>
    </row>
    <row r="60" spans="1:4" x14ac:dyDescent="0.3">
      <c r="A60" s="5" t="s">
        <v>100</v>
      </c>
      <c r="B60" s="30" t="s">
        <v>101</v>
      </c>
      <c r="C60" s="30" t="s">
        <v>102</v>
      </c>
      <c r="D60" s="5" t="s">
        <v>103</v>
      </c>
    </row>
    <row r="61" spans="1:4" x14ac:dyDescent="0.3">
      <c r="A61" s="5" t="s">
        <v>104</v>
      </c>
      <c r="B61" s="39">
        <v>0.68</v>
      </c>
      <c r="C61" s="22" t="s">
        <v>105</v>
      </c>
      <c r="D61" s="9" t="s">
        <v>106</v>
      </c>
    </row>
    <row r="62" spans="1:4" x14ac:dyDescent="0.3">
      <c r="A62" s="5" t="s">
        <v>107</v>
      </c>
      <c r="B62" s="40">
        <v>0.254</v>
      </c>
      <c r="C62" s="22" t="s">
        <v>108</v>
      </c>
      <c r="D62" s="9" t="s">
        <v>109</v>
      </c>
    </row>
    <row r="63" spans="1:4" x14ac:dyDescent="0.3">
      <c r="A63" s="5" t="s">
        <v>110</v>
      </c>
      <c r="B63" s="39">
        <v>1.68</v>
      </c>
      <c r="C63" s="22" t="s">
        <v>111</v>
      </c>
      <c r="D63" s="9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EA91-0729-4A3E-B8D6-E457DC0F9BA0}">
  <sheetPr>
    <tabColor rgb="FF1F4E79"/>
  </sheetPr>
  <dimension ref="A1:M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6" sqref="J16"/>
    </sheetView>
  </sheetViews>
  <sheetFormatPr defaultRowHeight="14.4" x14ac:dyDescent="0.3"/>
  <cols>
    <col min="1" max="1" width="38.88671875" customWidth="1"/>
    <col min="2" max="13" width="16.6640625" customWidth="1"/>
  </cols>
  <sheetData>
    <row r="1" spans="1:13" ht="17.399999999999999" x14ac:dyDescent="0.35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3">
      <c r="A3" s="5" t="s">
        <v>14</v>
      </c>
      <c r="B3" s="6">
        <v>11.74</v>
      </c>
      <c r="C3" s="6">
        <v>17.3</v>
      </c>
      <c r="D3" s="6">
        <v>35</v>
      </c>
      <c r="E3" s="6">
        <v>83.05</v>
      </c>
      <c r="F3" s="6">
        <v>139.80000000000001</v>
      </c>
      <c r="G3" s="6">
        <v>123.8</v>
      </c>
      <c r="H3" s="6">
        <f>F3*(1+'Assumptions &amp; Thesis'!C11)</f>
        <v>170.55600000000001</v>
      </c>
      <c r="I3" s="6">
        <f>H3*(1+'Assumptions &amp; Thesis'!C12)</f>
        <v>204.66720000000001</v>
      </c>
      <c r="J3" s="6">
        <f>I3*(1+'Assumptions &amp; Thesis'!C13)</f>
        <v>241.507296</v>
      </c>
      <c r="K3" s="6">
        <f>J3*(1+'Assumptions &amp; Thesis'!C14)</f>
        <v>280.14846335999999</v>
      </c>
      <c r="L3" s="6">
        <f>K3*(1+'Assumptions &amp; Thesis'!C15)</f>
        <v>319.36924823040005</v>
      </c>
      <c r="M3" s="6">
        <f>L3*(1+'Assumptions &amp; Thesis'!C16)</f>
        <v>357.69355801804807</v>
      </c>
    </row>
    <row r="4" spans="1:13" x14ac:dyDescent="0.3">
      <c r="A4" s="8" t="s">
        <v>15</v>
      </c>
      <c r="B4" s="9"/>
      <c r="C4" s="10">
        <f>(C3-B3)/B3</f>
        <v>0.47359454855195915</v>
      </c>
      <c r="D4" s="10">
        <f>(D3-C3)/C3</f>
        <v>1.023121387283237</v>
      </c>
      <c r="E4" s="10">
        <f>(E3-D3)/D3</f>
        <v>1.3728571428571428</v>
      </c>
      <c r="F4" s="10">
        <f>(F3-E3)/E3</f>
        <v>0.68332329921733914</v>
      </c>
      <c r="G4" s="9"/>
      <c r="H4" s="10">
        <f>(H3-F3)/F3</f>
        <v>0.21999999999999997</v>
      </c>
      <c r="I4" s="10">
        <f>(I3-H3)/H3</f>
        <v>0.19999999999999996</v>
      </c>
      <c r="J4" s="10">
        <f>(J3-I3)/I3</f>
        <v>0.17999999999999994</v>
      </c>
      <c r="K4" s="10">
        <f>(K3-J3)/J3</f>
        <v>0.16</v>
      </c>
      <c r="L4" s="10">
        <f>(L3-K3)/K3</f>
        <v>0.14000000000000018</v>
      </c>
      <c r="M4" s="10">
        <f>(M3-L3)/L3</f>
        <v>0.12000000000000004</v>
      </c>
    </row>
    <row r="6" spans="1:13" x14ac:dyDescent="0.3">
      <c r="A6" s="4" t="s">
        <v>16</v>
      </c>
      <c r="B6" s="6">
        <v>4.8</v>
      </c>
      <c r="C6" s="6">
        <v>6.9</v>
      </c>
      <c r="D6" s="6">
        <v>9.5</v>
      </c>
      <c r="E6" s="6">
        <v>19.5</v>
      </c>
      <c r="F6" s="6">
        <v>37.799999999999997</v>
      </c>
      <c r="G6" s="6">
        <v>37.9</v>
      </c>
      <c r="H6" s="6">
        <f>H3*'Assumptions &amp; Thesis'!C18</f>
        <v>48.608460000000001</v>
      </c>
      <c r="I6" s="6">
        <f>I3*'Assumptions &amp; Thesis'!C19</f>
        <v>57.306816000000005</v>
      </c>
      <c r="J6" s="6">
        <f>J3*'Assumptions &amp; Thesis'!C20</f>
        <v>66.414506400000008</v>
      </c>
      <c r="K6" s="6">
        <f>K3*'Assumptions &amp; Thesis'!C21</f>
        <v>77.040827424</v>
      </c>
      <c r="L6" s="6">
        <f>L3*'Assumptions &amp; Thesis'!C22</f>
        <v>86.229697022208015</v>
      </c>
      <c r="M6" s="6">
        <f>M3*'Assumptions &amp; Thesis'!C23</f>
        <v>96.577260664872981</v>
      </c>
    </row>
    <row r="7" spans="1:13" x14ac:dyDescent="0.3">
      <c r="A7" s="4" t="s">
        <v>17</v>
      </c>
      <c r="B7" s="6">
        <v>4.2</v>
      </c>
      <c r="C7" s="6">
        <v>6.1</v>
      </c>
      <c r="D7" s="6">
        <v>15.5</v>
      </c>
      <c r="E7" s="6">
        <v>39.6</v>
      </c>
      <c r="F7" s="6">
        <v>66.5</v>
      </c>
      <c r="G7" s="6">
        <v>55.5</v>
      </c>
      <c r="H7" s="6">
        <f>H3*'Assumptions &amp; Thesis'!C26</f>
        <v>77.602980000000002</v>
      </c>
      <c r="I7" s="6">
        <f>I3*'Assumptions &amp; Thesis'!C27</f>
        <v>92.100239999999999</v>
      </c>
      <c r="J7" s="6">
        <f>J3*'Assumptions &amp; Thesis'!C28</f>
        <v>107.47074671999999</v>
      </c>
      <c r="K7" s="6">
        <f>K3*'Assumptions &amp; Thesis'!C29</f>
        <v>123.2653238784</v>
      </c>
      <c r="L7" s="6">
        <f>L3*'Assumptions &amp; Thesis'!C30</f>
        <v>140.52246922137601</v>
      </c>
      <c r="M7" s="6">
        <f>M3*'Assumptions &amp; Thesis'!C31</f>
        <v>155.59669773785092</v>
      </c>
    </row>
    <row r="8" spans="1:13" x14ac:dyDescent="0.3">
      <c r="A8" s="5" t="s">
        <v>18</v>
      </c>
      <c r="B8" s="11">
        <f>B6+B7</f>
        <v>9</v>
      </c>
      <c r="C8" s="11">
        <f>C6+C7</f>
        <v>13</v>
      </c>
      <c r="D8" s="11">
        <f>D6+D7</f>
        <v>25</v>
      </c>
      <c r="E8" s="11">
        <f>E6+E7</f>
        <v>59.1</v>
      </c>
      <c r="F8" s="11">
        <f>F6+F7</f>
        <v>104.3</v>
      </c>
      <c r="G8" s="11">
        <f>G6+G7</f>
        <v>93.4</v>
      </c>
      <c r="H8" s="11">
        <f>H6+H7</f>
        <v>126.21144000000001</v>
      </c>
      <c r="I8" s="11">
        <f>I6+I7</f>
        <v>149.40705600000001</v>
      </c>
      <c r="J8" s="11">
        <f>J6+J7</f>
        <v>173.88525312000002</v>
      </c>
      <c r="K8" s="11">
        <f>K6+K7</f>
        <v>200.3061513024</v>
      </c>
      <c r="L8" s="11">
        <f>L6+L7</f>
        <v>226.75216624358404</v>
      </c>
      <c r="M8" s="11">
        <f>M6+M7</f>
        <v>252.17395840272388</v>
      </c>
    </row>
    <row r="10" spans="1:13" x14ac:dyDescent="0.3">
      <c r="A10" s="12" t="s">
        <v>19</v>
      </c>
      <c r="B10" s="13">
        <f>B3-B8</f>
        <v>2.74</v>
      </c>
      <c r="C10" s="13">
        <f>C3-C8</f>
        <v>4.3000000000000007</v>
      </c>
      <c r="D10" s="13">
        <f>D3-D8</f>
        <v>10</v>
      </c>
      <c r="E10" s="13">
        <f>E3-E8</f>
        <v>23.949999999999996</v>
      </c>
      <c r="F10" s="13">
        <f>F3-F8</f>
        <v>35.500000000000014</v>
      </c>
      <c r="G10" s="13">
        <f>G3-G8</f>
        <v>30.399999999999991</v>
      </c>
      <c r="H10" s="13">
        <f>H3-H8</f>
        <v>44.344560000000001</v>
      </c>
      <c r="I10" s="13">
        <f>I3-I8</f>
        <v>55.260143999999997</v>
      </c>
      <c r="J10" s="13">
        <f>J3-J8</f>
        <v>67.622042879999981</v>
      </c>
      <c r="K10" s="13">
        <f>K3-K8</f>
        <v>79.842312057599997</v>
      </c>
      <c r="L10" s="13">
        <f>L3-L8</f>
        <v>92.617081986816004</v>
      </c>
      <c r="M10" s="13">
        <f>M3-M8</f>
        <v>105.51959961532418</v>
      </c>
    </row>
    <row r="11" spans="1:13" x14ac:dyDescent="0.3">
      <c r="A11" s="8" t="s">
        <v>20</v>
      </c>
      <c r="B11" s="10">
        <f>B10/B3</f>
        <v>0.23339011925042591</v>
      </c>
      <c r="C11" s="10">
        <f>C10/C3</f>
        <v>0.24855491329479773</v>
      </c>
      <c r="D11" s="10">
        <f>D10/D3</f>
        <v>0.2857142857142857</v>
      </c>
      <c r="E11" s="10">
        <f>E10/E3</f>
        <v>0.28838049367850688</v>
      </c>
      <c r="F11" s="10">
        <f>F10/F3</f>
        <v>0.25393419170243214</v>
      </c>
      <c r="G11" s="10">
        <f>G10/G3</f>
        <v>0.24555735056542805</v>
      </c>
      <c r="H11" s="10">
        <f>H10/H3</f>
        <v>0.26</v>
      </c>
      <c r="I11" s="10">
        <f>I10/I3</f>
        <v>0.26999999999999996</v>
      </c>
      <c r="J11" s="10">
        <f>J10/J3</f>
        <v>0.27999999999999992</v>
      </c>
      <c r="K11" s="10">
        <f>K10/K3</f>
        <v>0.28499999999999998</v>
      </c>
      <c r="L11" s="10">
        <f>L10/L3</f>
        <v>0.28999999999999998</v>
      </c>
      <c r="M11" s="10">
        <f>M10/M3</f>
        <v>0.29499999999999998</v>
      </c>
    </row>
    <row r="13" spans="1:13" x14ac:dyDescent="0.3">
      <c r="A13" s="4" t="s">
        <v>21</v>
      </c>
      <c r="B13" s="6">
        <v>0.3</v>
      </c>
      <c r="C13" s="6">
        <v>0.4</v>
      </c>
      <c r="D13" s="6">
        <v>0.6</v>
      </c>
      <c r="E13" s="6">
        <v>1.2</v>
      </c>
      <c r="F13" s="6">
        <v>2.1</v>
      </c>
      <c r="G13" s="6">
        <v>1.92</v>
      </c>
      <c r="H13" s="6">
        <f>H3*'Assumptions &amp; Thesis'!C34</f>
        <v>2.5583400000000003</v>
      </c>
      <c r="I13" s="6">
        <f>I3*'Assumptions &amp; Thesis'!C34</f>
        <v>3.0700080000000001</v>
      </c>
      <c r="J13" s="6">
        <f>J3*'Assumptions &amp; Thesis'!C34</f>
        <v>3.6226094399999997</v>
      </c>
      <c r="K13" s="6">
        <f>K3*'Assumptions &amp; Thesis'!C34</f>
        <v>4.2022269504</v>
      </c>
      <c r="L13" s="6">
        <f>L3*'Assumptions &amp; Thesis'!C34</f>
        <v>4.7905387234560006</v>
      </c>
      <c r="M13" s="6">
        <f>M3*'Assumptions &amp; Thesis'!C34</f>
        <v>5.3654033702707205</v>
      </c>
    </row>
    <row r="14" spans="1:13" x14ac:dyDescent="0.3">
      <c r="A14" s="5" t="s">
        <v>22</v>
      </c>
      <c r="B14" s="11">
        <f>B10-B13</f>
        <v>2.4400000000000004</v>
      </c>
      <c r="C14" s="11">
        <f>C10-C13</f>
        <v>3.9000000000000008</v>
      </c>
      <c r="D14" s="11">
        <f>D10-D13</f>
        <v>9.4</v>
      </c>
      <c r="E14" s="11">
        <f>E10-E13</f>
        <v>22.749999999999996</v>
      </c>
      <c r="F14" s="11">
        <f>F10-F13</f>
        <v>33.400000000000013</v>
      </c>
      <c r="G14" s="11">
        <f>G10-G13</f>
        <v>28.47999999999999</v>
      </c>
      <c r="H14" s="11">
        <f>H10-H13</f>
        <v>41.78622</v>
      </c>
      <c r="I14" s="11">
        <f>I10-I13</f>
        <v>52.190135999999995</v>
      </c>
      <c r="J14" s="11">
        <f>J10-J13</f>
        <v>63.999433439999983</v>
      </c>
      <c r="K14" s="11">
        <f>K10-K13</f>
        <v>75.640085107199994</v>
      </c>
      <c r="L14" s="11">
        <f>L10-L13</f>
        <v>87.826543263360008</v>
      </c>
      <c r="M14" s="11">
        <f>M10-M13</f>
        <v>100.15419624505346</v>
      </c>
    </row>
    <row r="15" spans="1:13" x14ac:dyDescent="0.3">
      <c r="A15" s="4" t="s">
        <v>23</v>
      </c>
      <c r="B15" s="6">
        <v>0.1</v>
      </c>
      <c r="C15" s="6">
        <v>0.1</v>
      </c>
      <c r="D15" s="6">
        <v>0.15</v>
      </c>
      <c r="E15" s="6">
        <v>0.2</v>
      </c>
      <c r="F15" s="6">
        <v>0.25</v>
      </c>
      <c r="G15" s="6">
        <v>0.18</v>
      </c>
      <c r="H15" s="14">
        <v>0.25</v>
      </c>
      <c r="I15" s="14">
        <v>0.25</v>
      </c>
      <c r="J15" s="14">
        <v>0.25</v>
      </c>
      <c r="K15" s="14">
        <v>0.25</v>
      </c>
      <c r="L15" s="14">
        <v>0.25</v>
      </c>
      <c r="M15" s="14">
        <v>0.25</v>
      </c>
    </row>
    <row r="16" spans="1:13" x14ac:dyDescent="0.3">
      <c r="A16" s="4" t="s">
        <v>24</v>
      </c>
      <c r="B16" s="6">
        <v>0.4</v>
      </c>
      <c r="C16" s="6">
        <v>0.5</v>
      </c>
      <c r="D16" s="6">
        <v>0.8</v>
      </c>
      <c r="E16" s="6">
        <v>1.5</v>
      </c>
      <c r="F16" s="6">
        <v>2.2999999999999998</v>
      </c>
      <c r="G16" s="6">
        <v>1.8</v>
      </c>
      <c r="H16" s="6">
        <f>H3*'Assumptions &amp; Thesis'!C36</f>
        <v>2.5583400000000003</v>
      </c>
      <c r="I16" s="6">
        <f>I3*'Assumptions &amp; Thesis'!C36</f>
        <v>3.0700080000000001</v>
      </c>
      <c r="J16" s="6">
        <f>J3*'Assumptions &amp; Thesis'!C36</f>
        <v>3.6226094399999997</v>
      </c>
      <c r="K16" s="6">
        <f>K3*'Assumptions &amp; Thesis'!C36</f>
        <v>4.2022269504</v>
      </c>
      <c r="L16" s="6">
        <f>L3*'Assumptions &amp; Thesis'!C36</f>
        <v>4.7905387234560006</v>
      </c>
      <c r="M16" s="6">
        <f>M3*'Assumptions &amp; Thesis'!C36</f>
        <v>5.3654033702707205</v>
      </c>
    </row>
    <row r="17" spans="1:13" x14ac:dyDescent="0.3">
      <c r="A17" s="5" t="s">
        <v>25</v>
      </c>
      <c r="B17" s="11">
        <f>B14-B15+B16</f>
        <v>2.74</v>
      </c>
      <c r="C17" s="11">
        <f>C14-C15+C16</f>
        <v>4.3000000000000007</v>
      </c>
      <c r="D17" s="11">
        <f>D14-D15+D16</f>
        <v>10.050000000000001</v>
      </c>
      <c r="E17" s="11">
        <f>E14-E15+E16</f>
        <v>24.049999999999997</v>
      </c>
      <c r="F17" s="11">
        <f>F14-F15+F16</f>
        <v>35.45000000000001</v>
      </c>
      <c r="G17" s="11">
        <f>G14-G15+G16</f>
        <v>30.099999999999991</v>
      </c>
      <c r="H17" s="11">
        <f>H14-H15+H16</f>
        <v>44.094560000000001</v>
      </c>
      <c r="I17" s="11">
        <f>I14-I15+I16</f>
        <v>55.010143999999997</v>
      </c>
      <c r="J17" s="11">
        <f>J14-J15+J16</f>
        <v>67.372042879999981</v>
      </c>
      <c r="K17" s="11">
        <f>K14-K15+K16</f>
        <v>79.592312057599997</v>
      </c>
      <c r="L17" s="11">
        <f>L14-L15+L16</f>
        <v>92.367081986816004</v>
      </c>
      <c r="M17" s="11">
        <f>M14-M15+M16</f>
        <v>105.26959961532418</v>
      </c>
    </row>
    <row r="18" spans="1:13" x14ac:dyDescent="0.3">
      <c r="A18" s="4" t="s">
        <v>26</v>
      </c>
      <c r="B18" s="6">
        <f>B17*'Assumptions &amp; Thesis'!C38</f>
        <v>0.68500000000000005</v>
      </c>
      <c r="C18" s="6">
        <f>C17*'Assumptions &amp; Thesis'!C38</f>
        <v>1.0750000000000002</v>
      </c>
      <c r="D18" s="6">
        <f>D17*'Assumptions &amp; Thesis'!C38</f>
        <v>2.5125000000000002</v>
      </c>
      <c r="E18" s="6">
        <f>E17*'Assumptions &amp; Thesis'!C38</f>
        <v>6.0124999999999993</v>
      </c>
      <c r="F18" s="6">
        <f>F17*'Assumptions &amp; Thesis'!C38</f>
        <v>8.8625000000000025</v>
      </c>
      <c r="G18" s="6">
        <f>G17*'Assumptions &amp; Thesis'!C38</f>
        <v>7.5249999999999977</v>
      </c>
      <c r="H18" s="6">
        <f>H17*'Assumptions &amp; Thesis'!C38</f>
        <v>11.02364</v>
      </c>
      <c r="I18" s="6">
        <f>I17*'Assumptions &amp; Thesis'!C38</f>
        <v>13.752535999999999</v>
      </c>
      <c r="J18" s="6">
        <f>J17*'Assumptions &amp; Thesis'!C38</f>
        <v>16.843010719999995</v>
      </c>
      <c r="K18" s="6">
        <f>K17*'Assumptions &amp; Thesis'!C38</f>
        <v>19.898078014399999</v>
      </c>
      <c r="L18" s="6">
        <f>L17*'Assumptions &amp; Thesis'!C38</f>
        <v>23.091770496704001</v>
      </c>
      <c r="M18" s="6">
        <f>M17*'Assumptions &amp; Thesis'!C38</f>
        <v>26.317399903831046</v>
      </c>
    </row>
    <row r="20" spans="1:13" x14ac:dyDescent="0.3">
      <c r="A20" s="16" t="s">
        <v>27</v>
      </c>
      <c r="B20" s="17">
        <f>B17-B18</f>
        <v>2.0550000000000002</v>
      </c>
      <c r="C20" s="17">
        <f>C17-C18</f>
        <v>3.2250000000000005</v>
      </c>
      <c r="D20" s="17">
        <f>D17-D18</f>
        <v>7.5375000000000005</v>
      </c>
      <c r="E20" s="17">
        <f>E17-E18</f>
        <v>18.037499999999998</v>
      </c>
      <c r="F20" s="17">
        <f>F17-F18</f>
        <v>26.587500000000006</v>
      </c>
      <c r="G20" s="17">
        <f>G17-G18</f>
        <v>22.574999999999992</v>
      </c>
      <c r="H20" s="17">
        <f>H17-H18</f>
        <v>33.070920000000001</v>
      </c>
      <c r="I20" s="17">
        <f>I17-I18</f>
        <v>41.257607999999998</v>
      </c>
      <c r="J20" s="17">
        <f>J17-J18</f>
        <v>50.529032159999986</v>
      </c>
      <c r="K20" s="17">
        <f>K17-K18</f>
        <v>59.694234043199998</v>
      </c>
      <c r="L20" s="17">
        <f>L17-L18</f>
        <v>69.275311490112003</v>
      </c>
      <c r="M20" s="17">
        <f>M17-M18</f>
        <v>78.952199711493137</v>
      </c>
    </row>
    <row r="21" spans="1:13" x14ac:dyDescent="0.3">
      <c r="A21" s="8" t="s">
        <v>28</v>
      </c>
      <c r="B21" s="10">
        <f>B20/B3</f>
        <v>0.17504258943781942</v>
      </c>
      <c r="C21" s="10">
        <f>C20/C3</f>
        <v>0.1864161849710983</v>
      </c>
      <c r="D21" s="10">
        <f>D20/D3</f>
        <v>0.21535714285714289</v>
      </c>
      <c r="E21" s="10">
        <f>E20/E3</f>
        <v>0.21718844069837445</v>
      </c>
      <c r="F21" s="10">
        <f>F20/F3</f>
        <v>0.19018240343347642</v>
      </c>
      <c r="G21" s="10">
        <f>G20/G3</f>
        <v>0.18235056542810979</v>
      </c>
      <c r="H21" s="10">
        <f>H20/H3</f>
        <v>0.19390065433054246</v>
      </c>
      <c r="I21" s="10">
        <f>I20/I3</f>
        <v>0.20158387860878538</v>
      </c>
      <c r="J21" s="10">
        <f>J20/J3</f>
        <v>0.20922362593964858</v>
      </c>
      <c r="K21" s="10">
        <f>K20/K3</f>
        <v>0.21308071201693848</v>
      </c>
      <c r="L21" s="10">
        <f>L20/L3</f>
        <v>0.21691290527801618</v>
      </c>
      <c r="M21" s="10">
        <f>M20/M3</f>
        <v>0.22072580828394306</v>
      </c>
    </row>
    <row r="22" spans="1:13" x14ac:dyDescent="0.3">
      <c r="A22" s="5" t="s">
        <v>29</v>
      </c>
      <c r="B22" s="11">
        <f>B20/1.858</f>
        <v>1.1060279870828849</v>
      </c>
      <c r="C22" s="11">
        <f>C20/1.858</f>
        <v>1.7357373519913888</v>
      </c>
      <c r="D22" s="11">
        <f>D20/1.858</f>
        <v>4.0567814854682451</v>
      </c>
      <c r="E22" s="11">
        <f>E20/1.858</f>
        <v>9.7080193756727642</v>
      </c>
      <c r="F22" s="11">
        <f>F20/1.858</f>
        <v>14.309741657696451</v>
      </c>
      <c r="G22" s="11">
        <f>G20/1.858</f>
        <v>12.150161463939716</v>
      </c>
      <c r="H22" s="11">
        <f>H20/1.858</f>
        <v>17.799203444564046</v>
      </c>
      <c r="I22" s="11">
        <f>I20/1.858</f>
        <v>22.205386437029063</v>
      </c>
      <c r="J22" s="11">
        <f>J20/1.858</f>
        <v>27.195388675995684</v>
      </c>
      <c r="K22" s="11">
        <f>K20/1.858</f>
        <v>32.128220690635089</v>
      </c>
      <c r="L22" s="11">
        <f>L20/1.858</f>
        <v>37.284882395108717</v>
      </c>
      <c r="M22" s="11">
        <f>M20/1.858</f>
        <v>42.493110716627086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10D9-D43E-4286-85C1-9F26AC903FCD}">
  <sheetPr>
    <tabColor rgb="FF548235"/>
  </sheetPr>
  <dimension ref="A1:I20"/>
  <sheetViews>
    <sheetView workbookViewId="0">
      <selection activeCell="F1" sqref="F1"/>
    </sheetView>
  </sheetViews>
  <sheetFormatPr defaultRowHeight="14.4" x14ac:dyDescent="0.3"/>
  <cols>
    <col min="1" max="1" width="23.88671875" customWidth="1"/>
  </cols>
  <sheetData>
    <row r="1" spans="1:9" ht="17.399999999999999" x14ac:dyDescent="0.35">
      <c r="A1" s="1" t="s">
        <v>113</v>
      </c>
    </row>
    <row r="2" spans="1:9" x14ac:dyDescent="0.3">
      <c r="A2" s="41" t="s">
        <v>1</v>
      </c>
      <c r="B2" s="41" t="s">
        <v>4</v>
      </c>
      <c r="C2" s="41" t="s">
        <v>5</v>
      </c>
      <c r="D2" s="41" t="s">
        <v>6</v>
      </c>
      <c r="E2" s="42" t="s">
        <v>8</v>
      </c>
      <c r="F2" s="42" t="s">
        <v>9</v>
      </c>
      <c r="G2" s="42" t="s">
        <v>10</v>
      </c>
      <c r="H2" s="42" t="s">
        <v>11</v>
      </c>
      <c r="I2" s="42" t="s">
        <v>12</v>
      </c>
    </row>
    <row r="3" spans="1:9" x14ac:dyDescent="0.3">
      <c r="A3" s="43" t="s">
        <v>114</v>
      </c>
      <c r="B3" s="44"/>
      <c r="C3" s="44"/>
      <c r="D3" s="44"/>
      <c r="E3" s="44"/>
      <c r="F3" s="44"/>
      <c r="G3" s="44"/>
      <c r="H3" s="44"/>
      <c r="I3" s="44"/>
    </row>
    <row r="4" spans="1:9" x14ac:dyDescent="0.3">
      <c r="A4" s="4" t="s">
        <v>115</v>
      </c>
      <c r="B4" s="6">
        <v>1.86</v>
      </c>
      <c r="C4" s="6">
        <v>1.86</v>
      </c>
      <c r="D4" s="6">
        <v>1.86</v>
      </c>
      <c r="E4" s="6">
        <v>1.86</v>
      </c>
      <c r="F4" s="6">
        <v>1.86</v>
      </c>
      <c r="G4" s="6">
        <v>1.86</v>
      </c>
      <c r="H4" s="6">
        <v>1.86</v>
      </c>
      <c r="I4" s="6">
        <v>1.86</v>
      </c>
    </row>
    <row r="5" spans="1:9" x14ac:dyDescent="0.3">
      <c r="A5" s="4" t="s">
        <v>116</v>
      </c>
      <c r="B5" s="6">
        <v>20.5</v>
      </c>
      <c r="C5" s="6">
        <v>34.5</v>
      </c>
      <c r="D5" s="6">
        <v>59.49</v>
      </c>
      <c r="E5" s="6">
        <f>D5+'P&amp;L'!H20</f>
        <v>92.56092000000001</v>
      </c>
      <c r="F5" s="6">
        <f>E5+'P&amp;L'!I20</f>
        <v>133.81852800000001</v>
      </c>
      <c r="G5" s="6">
        <f>F5+'P&amp;L'!J20</f>
        <v>184.34756016</v>
      </c>
      <c r="H5" s="6">
        <f>G5+'P&amp;L'!K20</f>
        <v>244.0417942032</v>
      </c>
      <c r="I5" s="6">
        <f>H5+'P&amp;L'!L20</f>
        <v>313.31710569331199</v>
      </c>
    </row>
    <row r="6" spans="1:9" x14ac:dyDescent="0.3">
      <c r="A6" s="5" t="s">
        <v>117</v>
      </c>
      <c r="B6" s="11">
        <f>B4+B5</f>
        <v>22.36</v>
      </c>
      <c r="C6" s="11">
        <f>C4+C5</f>
        <v>36.36</v>
      </c>
      <c r="D6" s="11">
        <f>D4+D5</f>
        <v>61.35</v>
      </c>
      <c r="E6" s="11">
        <f>E4+E5</f>
        <v>94.42092000000001</v>
      </c>
      <c r="F6" s="11">
        <f>F4+F5</f>
        <v>135.67852800000003</v>
      </c>
      <c r="G6" s="11">
        <f>G4+G5</f>
        <v>186.20756016000001</v>
      </c>
      <c r="H6" s="11">
        <f>H4+H5</f>
        <v>245.90179420320001</v>
      </c>
      <c r="I6" s="11">
        <f>I4+I5</f>
        <v>315.177105693312</v>
      </c>
    </row>
    <row r="7" spans="1:9" x14ac:dyDescent="0.3">
      <c r="A7" s="4" t="s">
        <v>118</v>
      </c>
      <c r="B7" s="6">
        <v>1.5</v>
      </c>
      <c r="C7" s="6">
        <v>1.8</v>
      </c>
      <c r="D7" s="6">
        <v>2.11</v>
      </c>
      <c r="E7" s="14">
        <v>2</v>
      </c>
      <c r="F7" s="14">
        <v>1.8</v>
      </c>
      <c r="G7" s="14">
        <v>1.5</v>
      </c>
      <c r="H7" s="14">
        <v>1.2</v>
      </c>
      <c r="I7" s="14">
        <v>1</v>
      </c>
    </row>
    <row r="8" spans="1:9" x14ac:dyDescent="0.3">
      <c r="A8" s="4" t="s">
        <v>119</v>
      </c>
      <c r="B8" s="6">
        <v>12.5</v>
      </c>
      <c r="C8" s="6">
        <v>33</v>
      </c>
      <c r="D8" s="6">
        <v>48.95</v>
      </c>
      <c r="E8" s="6">
        <f>'P&amp;L'!H3*0.28</f>
        <v>47.755680000000005</v>
      </c>
      <c r="F8" s="6">
        <f>'P&amp;L'!I3*0.28</f>
        <v>57.306816000000005</v>
      </c>
      <c r="G8" s="6">
        <f>'P&amp;L'!J3*0.27</f>
        <v>65.206969920000006</v>
      </c>
      <c r="H8" s="6">
        <f>'P&amp;L'!K3*0.27</f>
        <v>75.640085107200008</v>
      </c>
      <c r="I8" s="6">
        <f>'P&amp;L'!L3*0.27</f>
        <v>86.229697022208015</v>
      </c>
    </row>
    <row r="9" spans="1:9" x14ac:dyDescent="0.3">
      <c r="A9" s="43" t="s">
        <v>120</v>
      </c>
      <c r="B9" s="45">
        <f>B6+B7+B8</f>
        <v>36.36</v>
      </c>
      <c r="C9" s="45">
        <f>C6+C7+C8</f>
        <v>71.16</v>
      </c>
      <c r="D9" s="45">
        <f>D6+D7+D8</f>
        <v>112.41</v>
      </c>
      <c r="E9" s="45">
        <f>E6+E7+E8</f>
        <v>144.17660000000001</v>
      </c>
      <c r="F9" s="45">
        <f>F6+F7+F8</f>
        <v>194.78534400000004</v>
      </c>
      <c r="G9" s="45">
        <f>G6+G7+G8</f>
        <v>252.91453008000002</v>
      </c>
      <c r="H9" s="45">
        <f>H6+H7+H8</f>
        <v>322.74187931040001</v>
      </c>
      <c r="I9" s="45">
        <f>I6+I7+I8</f>
        <v>402.40680271552003</v>
      </c>
    </row>
    <row r="11" spans="1:9" x14ac:dyDescent="0.3">
      <c r="A11" s="43" t="s">
        <v>121</v>
      </c>
      <c r="B11" s="44"/>
      <c r="C11" s="44"/>
      <c r="D11" s="44"/>
      <c r="E11" s="44"/>
      <c r="F11" s="44"/>
      <c r="G11" s="44"/>
      <c r="H11" s="44"/>
      <c r="I11" s="44"/>
    </row>
    <row r="12" spans="1:9" x14ac:dyDescent="0.3">
      <c r="A12" s="4" t="s">
        <v>122</v>
      </c>
      <c r="B12" s="6">
        <v>3.5</v>
      </c>
      <c r="C12" s="6">
        <v>5.2</v>
      </c>
      <c r="D12" s="6">
        <v>7.39</v>
      </c>
      <c r="E12" s="6">
        <f>D12+'P&amp;L'!H3*'Assumptions &amp; Thesis'!C49-'P&amp;L'!H13</f>
        <v>10.801120000000001</v>
      </c>
      <c r="F12" s="6">
        <f>E12+'P&amp;L'!I3*'Assumptions &amp; Thesis'!C49-'P&amp;L'!I13</f>
        <v>14.894464000000001</v>
      </c>
      <c r="G12" s="6">
        <f>F12+'P&amp;L'!J3*'Assumptions &amp; Thesis'!C49-'P&amp;L'!J13</f>
        <v>19.724609920000006</v>
      </c>
      <c r="H12" s="6">
        <f>G12+'P&amp;L'!K3*'Assumptions &amp; Thesis'!C49-'P&amp;L'!K13</f>
        <v>25.327579187200005</v>
      </c>
      <c r="I12" s="6">
        <f>H12+'P&amp;L'!L3*'Assumptions &amp; Thesis'!C49-'P&amp;L'!L13</f>
        <v>31.714964151808005</v>
      </c>
    </row>
    <row r="13" spans="1:9" x14ac:dyDescent="0.3">
      <c r="A13" s="4" t="s">
        <v>123</v>
      </c>
      <c r="B13" s="6">
        <v>2.5</v>
      </c>
      <c r="C13" s="6">
        <v>4</v>
      </c>
      <c r="D13" s="6">
        <v>5</v>
      </c>
      <c r="E13" s="14">
        <v>5.5</v>
      </c>
      <c r="F13" s="14">
        <v>6</v>
      </c>
      <c r="G13" s="14">
        <v>6.5</v>
      </c>
      <c r="H13" s="14">
        <v>7</v>
      </c>
      <c r="I13" s="14">
        <v>7.5</v>
      </c>
    </row>
    <row r="14" spans="1:9" x14ac:dyDescent="0.3">
      <c r="A14" s="4" t="s">
        <v>124</v>
      </c>
      <c r="B14" s="6">
        <v>29</v>
      </c>
      <c r="C14" s="6">
        <v>60</v>
      </c>
      <c r="D14" s="6">
        <v>105.19</v>
      </c>
      <c r="E14" s="6">
        <f>E9-E12-E13</f>
        <v>127.87548000000001</v>
      </c>
      <c r="F14" s="6">
        <f>F9-F12-F13</f>
        <v>173.89088000000004</v>
      </c>
      <c r="G14" s="6">
        <f>G9-G12-G13</f>
        <v>226.68992016000001</v>
      </c>
      <c r="H14" s="6">
        <f>H9-H12-H13</f>
        <v>290.41430012320001</v>
      </c>
      <c r="I14" s="6">
        <f>I9-I12-I13</f>
        <v>363.19183856371205</v>
      </c>
    </row>
    <row r="15" spans="1:9" x14ac:dyDescent="0.3">
      <c r="A15" s="43" t="s">
        <v>125</v>
      </c>
      <c r="B15" s="45">
        <f>B12+B13+B14</f>
        <v>35</v>
      </c>
      <c r="C15" s="45">
        <f>C12+C13+C14</f>
        <v>69.2</v>
      </c>
      <c r="D15" s="45">
        <f>D12+D13+D14</f>
        <v>117.58</v>
      </c>
      <c r="E15" s="45">
        <f>E12+E13+E14</f>
        <v>144.17660000000001</v>
      </c>
      <c r="F15" s="45">
        <f>F12+F13+F14</f>
        <v>194.78534400000004</v>
      </c>
      <c r="G15" s="45">
        <f>G12+G13+G14</f>
        <v>252.91453008000002</v>
      </c>
      <c r="H15" s="45">
        <f>H12+H13+H14</f>
        <v>322.74187931040001</v>
      </c>
      <c r="I15" s="45">
        <f>I12+I13+I14</f>
        <v>402.40680271552003</v>
      </c>
    </row>
    <row r="17" spans="1:9" x14ac:dyDescent="0.3">
      <c r="A17" s="43" t="s">
        <v>126</v>
      </c>
      <c r="B17" s="44"/>
      <c r="C17" s="44"/>
      <c r="D17" s="44"/>
      <c r="E17" s="44"/>
      <c r="F17" s="44"/>
      <c r="G17" s="44"/>
      <c r="H17" s="44"/>
      <c r="I17" s="44"/>
    </row>
    <row r="18" spans="1:9" x14ac:dyDescent="0.3">
      <c r="A18" s="4" t="s">
        <v>127</v>
      </c>
      <c r="B18" s="46">
        <f>'P&amp;L'!D20/B6</f>
        <v>0.33709749552772811</v>
      </c>
      <c r="C18" s="46">
        <f>'P&amp;L'!E20/C6</f>
        <v>0.49608085808580854</v>
      </c>
      <c r="D18" s="46">
        <f>'P&amp;L'!F20/D6</f>
        <v>0.43337408312958442</v>
      </c>
      <c r="E18" s="46">
        <f>'P&amp;L'!H20/E6</f>
        <v>0.35024992342798605</v>
      </c>
      <c r="F18" s="46">
        <f>'P&amp;L'!I20/F6</f>
        <v>0.30408354666111936</v>
      </c>
      <c r="G18" s="46">
        <f>'P&amp;L'!J20/G6</f>
        <v>0.27135865008156812</v>
      </c>
      <c r="H18" s="46">
        <f>'P&amp;L'!K20/H6</f>
        <v>0.2427563988974879</v>
      </c>
      <c r="I18" s="46">
        <f>'P&amp;L'!L20/I6</f>
        <v>0.21979804446050541</v>
      </c>
    </row>
    <row r="19" spans="1:9" x14ac:dyDescent="0.3">
      <c r="A19" s="4" t="s">
        <v>128</v>
      </c>
      <c r="B19" s="47">
        <f>B7/B6</f>
        <v>6.7084078711985684E-2</v>
      </c>
      <c r="C19" s="47">
        <f>C7/C6</f>
        <v>4.9504950495049507E-2</v>
      </c>
      <c r="D19" s="47">
        <f>D7/D6</f>
        <v>3.4392828035859815E-2</v>
      </c>
      <c r="E19" s="47">
        <f>E7/E6</f>
        <v>2.1181746587514715E-2</v>
      </c>
      <c r="F19" s="47">
        <f>F7/F6</f>
        <v>1.3266653364635558E-2</v>
      </c>
      <c r="G19" s="47">
        <f>G7/G6</f>
        <v>8.0555268470899662E-3</v>
      </c>
      <c r="H19" s="47">
        <f>H7/H6</f>
        <v>4.8799969267746962E-3</v>
      </c>
      <c r="I19" s="47">
        <f>I7/I6</f>
        <v>3.172819287746952E-3</v>
      </c>
    </row>
    <row r="20" spans="1:9" x14ac:dyDescent="0.3">
      <c r="A20" s="4" t="s">
        <v>129</v>
      </c>
      <c r="B20" s="47">
        <f>B14/B8</f>
        <v>2.3199999999999998</v>
      </c>
      <c r="C20" s="47">
        <f>C14/C8</f>
        <v>1.8181818181818181</v>
      </c>
      <c r="D20" s="47">
        <f>D14/D8</f>
        <v>2.1489274770173643</v>
      </c>
      <c r="E20" s="47">
        <f>E14/E8</f>
        <v>2.6777020031962691</v>
      </c>
      <c r="F20" s="47">
        <f>F14/F8</f>
        <v>3.03438390295493</v>
      </c>
      <c r="G20" s="47">
        <f>G14/G8</f>
        <v>3.4764676297352475</v>
      </c>
      <c r="H20" s="47">
        <f>H14/H8</f>
        <v>3.8394232332183895</v>
      </c>
      <c r="I20" s="47">
        <f>I14/I8</f>
        <v>4.2119113380413928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A6CB-E69B-4B32-86D9-2F037B6F2681}">
  <sheetPr>
    <tabColor rgb="FF7030A0"/>
  </sheetPr>
  <dimension ref="A1:I13"/>
  <sheetViews>
    <sheetView workbookViewId="0">
      <selection activeCell="E1" sqref="E1"/>
    </sheetView>
  </sheetViews>
  <sheetFormatPr defaultRowHeight="14.4" x14ac:dyDescent="0.3"/>
  <cols>
    <col min="1" max="1" width="28" customWidth="1"/>
  </cols>
  <sheetData>
    <row r="1" spans="1:9" ht="17.399999999999999" x14ac:dyDescent="0.35">
      <c r="A1" s="1" t="s">
        <v>130</v>
      </c>
    </row>
    <row r="2" spans="1:9" x14ac:dyDescent="0.3">
      <c r="A2" s="48" t="s">
        <v>1</v>
      </c>
      <c r="B2" s="48" t="s">
        <v>4</v>
      </c>
      <c r="C2" s="48" t="s">
        <v>5</v>
      </c>
      <c r="D2" s="48" t="s">
        <v>6</v>
      </c>
      <c r="E2" s="49" t="s">
        <v>8</v>
      </c>
      <c r="F2" s="49" t="s">
        <v>9</v>
      </c>
      <c r="G2" s="49" t="s">
        <v>10</v>
      </c>
      <c r="H2" s="49" t="s">
        <v>11</v>
      </c>
      <c r="I2" s="49" t="s">
        <v>12</v>
      </c>
    </row>
    <row r="3" spans="1:9" x14ac:dyDescent="0.3">
      <c r="A3" s="5" t="s">
        <v>22</v>
      </c>
      <c r="B3" s="6">
        <f>'P&amp;L'!D14</f>
        <v>9.4</v>
      </c>
      <c r="C3" s="6">
        <f>'P&amp;L'!E14</f>
        <v>22.749999999999996</v>
      </c>
      <c r="D3" s="6">
        <f>'P&amp;L'!F14</f>
        <v>33.400000000000013</v>
      </c>
      <c r="E3" s="6">
        <f>'P&amp;L'!H14</f>
        <v>41.78622</v>
      </c>
      <c r="F3" s="6">
        <f>'P&amp;L'!I14</f>
        <v>52.190135999999995</v>
      </c>
      <c r="G3" s="6">
        <f>'P&amp;L'!J14</f>
        <v>63.999433439999983</v>
      </c>
      <c r="H3" s="6">
        <f>'P&amp;L'!K14</f>
        <v>75.640085107199994</v>
      </c>
      <c r="I3" s="6">
        <f>'P&amp;L'!L14</f>
        <v>87.826543263360008</v>
      </c>
    </row>
    <row r="4" spans="1:9" x14ac:dyDescent="0.3">
      <c r="A4" s="4" t="s">
        <v>131</v>
      </c>
      <c r="B4" s="6">
        <f>-B3*'Assumptions &amp; Thesis'!C38</f>
        <v>-2.35</v>
      </c>
      <c r="C4" s="6">
        <f>-C3*'Assumptions &amp; Thesis'!C38</f>
        <v>-5.6874999999999991</v>
      </c>
      <c r="D4" s="6">
        <f>-D3*'Assumptions &amp; Thesis'!C38</f>
        <v>-8.3500000000000032</v>
      </c>
      <c r="E4" s="6">
        <f>-E3*'Assumptions &amp; Thesis'!C38</f>
        <v>-10.446555</v>
      </c>
      <c r="F4" s="6">
        <f>-F3*'Assumptions &amp; Thesis'!C38</f>
        <v>-13.047533999999999</v>
      </c>
      <c r="G4" s="6">
        <f>-G3*'Assumptions &amp; Thesis'!C38</f>
        <v>-15.999858359999996</v>
      </c>
      <c r="H4" s="6">
        <f>-H3*'Assumptions &amp; Thesis'!C38</f>
        <v>-18.910021276799998</v>
      </c>
      <c r="I4" s="6">
        <f>-I3*'Assumptions &amp; Thesis'!C38</f>
        <v>-21.956635815840002</v>
      </c>
    </row>
    <row r="5" spans="1:9" x14ac:dyDescent="0.3">
      <c r="A5" s="5" t="s">
        <v>132</v>
      </c>
      <c r="B5" s="11">
        <f>B3+B4</f>
        <v>7.0500000000000007</v>
      </c>
      <c r="C5" s="11">
        <f>C3+C4</f>
        <v>17.062499999999996</v>
      </c>
      <c r="D5" s="11">
        <f>D3+D4</f>
        <v>25.050000000000011</v>
      </c>
      <c r="E5" s="11">
        <f>E3+E4</f>
        <v>31.339665</v>
      </c>
      <c r="F5" s="11">
        <f>F3+F4</f>
        <v>39.142601999999997</v>
      </c>
      <c r="G5" s="11">
        <f>G3+G4</f>
        <v>47.999575079999985</v>
      </c>
      <c r="H5" s="11">
        <f>H3+H4</f>
        <v>56.730063830399999</v>
      </c>
      <c r="I5" s="11">
        <f>I3+I4</f>
        <v>65.869907447520006</v>
      </c>
    </row>
    <row r="6" spans="1:9" x14ac:dyDescent="0.3">
      <c r="A6" s="4" t="s">
        <v>133</v>
      </c>
      <c r="B6" s="6">
        <f>'P&amp;L'!D13</f>
        <v>0.6</v>
      </c>
      <c r="C6" s="6">
        <f>'P&amp;L'!E13</f>
        <v>1.2</v>
      </c>
      <c r="D6" s="6">
        <f>'P&amp;L'!F13</f>
        <v>2.1</v>
      </c>
      <c r="E6" s="6">
        <f>'P&amp;L'!H13</f>
        <v>2.5583400000000003</v>
      </c>
      <c r="F6" s="6">
        <f>'P&amp;L'!I13</f>
        <v>3.0700080000000001</v>
      </c>
      <c r="G6" s="6">
        <f>'P&amp;L'!J13</f>
        <v>3.6226094399999997</v>
      </c>
      <c r="H6" s="6">
        <f>'P&amp;L'!K13</f>
        <v>4.2022269504</v>
      </c>
      <c r="I6" s="6">
        <f>'P&amp;L'!L13</f>
        <v>4.7905387234560006</v>
      </c>
    </row>
    <row r="7" spans="1:9" x14ac:dyDescent="0.3">
      <c r="A7" s="4" t="s">
        <v>134</v>
      </c>
      <c r="B7" s="6">
        <v>-2</v>
      </c>
      <c r="C7" s="6">
        <v>-3.5</v>
      </c>
      <c r="D7" s="6">
        <v>-6</v>
      </c>
      <c r="E7" s="6">
        <f>-'P&amp;L'!H3*'Assumptions &amp; Thesis'!C49</f>
        <v>-5.9694600000000007</v>
      </c>
      <c r="F7" s="6">
        <f>-'P&amp;L'!I3*'Assumptions &amp; Thesis'!C49</f>
        <v>-7.1633520000000006</v>
      </c>
      <c r="G7" s="6">
        <f>-'P&amp;L'!J3*'Assumptions &amp; Thesis'!C49</f>
        <v>-8.4527553600000012</v>
      </c>
      <c r="H7" s="6">
        <f>-'P&amp;L'!K3*'Assumptions &amp; Thesis'!C49</f>
        <v>-9.8051962176000007</v>
      </c>
      <c r="I7" s="6">
        <f>-'P&amp;L'!L3*'Assumptions &amp; Thesis'!C49</f>
        <v>-11.177923688064002</v>
      </c>
    </row>
    <row r="8" spans="1:9" x14ac:dyDescent="0.3">
      <c r="A8" s="4" t="s">
        <v>135</v>
      </c>
      <c r="B8" s="6">
        <v>-4</v>
      </c>
      <c r="C8" s="6">
        <v>-10</v>
      </c>
      <c r="D8" s="6">
        <v>-12</v>
      </c>
      <c r="E8" s="6">
        <f>-('P&amp;L'!H3-F3)*'Assumptions &amp; Thesis'!C50/365</f>
        <v>-29.186103452054802</v>
      </c>
      <c r="F8" s="6">
        <f>-('P&amp;L'!I3-'P&amp;L'!H3)*'Assumptions &amp; Thesis'!C50/365</f>
        <v>-8.410980821917807</v>
      </c>
      <c r="G8" s="6">
        <f>-('P&amp;L'!J3-'P&amp;L'!I3)*'Assumptions &amp; Thesis'!C50/365</f>
        <v>-9.0838592876712294</v>
      </c>
      <c r="H8" s="6">
        <f>-('P&amp;L'!K3-'P&amp;L'!J3)*'Assumptions &amp; Thesis'!C50/365</f>
        <v>-9.5279590750684928</v>
      </c>
      <c r="I8" s="6">
        <f>-('P&amp;L'!L3-'P&amp;L'!K3)*'Assumptions &amp; Thesis'!C50/365</f>
        <v>-9.6708784611945333</v>
      </c>
    </row>
    <row r="10" spans="1:9" x14ac:dyDescent="0.3">
      <c r="A10" s="50" t="s">
        <v>136</v>
      </c>
      <c r="B10" s="51">
        <f>B5+B6+B7+B8</f>
        <v>1.6500000000000004</v>
      </c>
      <c r="C10" s="51">
        <f>C5+C6+C7+C8</f>
        <v>4.7624999999999957</v>
      </c>
      <c r="D10" s="51">
        <f>D5+D6+D7+D8</f>
        <v>9.1500000000000128</v>
      </c>
      <c r="E10" s="51">
        <f>E5+E6+E7+E8</f>
        <v>-1.2575584520548055</v>
      </c>
      <c r="F10" s="51">
        <f>F5+F6+F7+F8</f>
        <v>26.638277178082188</v>
      </c>
      <c r="G10" s="51">
        <f>G5+G6+G7+G8</f>
        <v>34.085569872328747</v>
      </c>
      <c r="H10" s="51">
        <f>H5+H6+H7+H8</f>
        <v>41.599135488131509</v>
      </c>
      <c r="I10" s="51">
        <f>I5+I6+I7+I8</f>
        <v>49.81164402171747</v>
      </c>
    </row>
    <row r="11" spans="1:9" x14ac:dyDescent="0.3">
      <c r="A11" s="8" t="s">
        <v>137</v>
      </c>
      <c r="B11" s="10">
        <f>B10/'P&amp;L'!D3</f>
        <v>4.7142857142857153E-2</v>
      </c>
      <c r="C11" s="10">
        <f>C10/'P&amp;L'!E3</f>
        <v>5.7344972907886767E-2</v>
      </c>
      <c r="D11" s="10">
        <f>D10/'P&amp;L'!F3</f>
        <v>6.5450643776824122E-2</v>
      </c>
      <c r="E11" s="10">
        <f>E10/'P&amp;L'!H3</f>
        <v>-7.3732876712329408E-3</v>
      </c>
      <c r="F11" s="10">
        <f>F10/'P&amp;L'!I3</f>
        <v>0.13015410958904108</v>
      </c>
      <c r="G11" s="52">
        <f>G10/'P&amp;L'!J3</f>
        <v>0.14113681216624091</v>
      </c>
      <c r="H11" s="52">
        <f>H10/'P&amp;L'!K3</f>
        <v>0.14848960793575816</v>
      </c>
      <c r="I11" s="52">
        <f>I10/'P&amp;L'!L3</f>
        <v>0.15596881759192496</v>
      </c>
    </row>
    <row r="13" spans="1:9" x14ac:dyDescent="0.3">
      <c r="A13" s="5" t="s">
        <v>138</v>
      </c>
      <c r="B13" s="11">
        <f>B10/'Assumptions &amp; Thesis'!C52</f>
        <v>0.8880516684607106</v>
      </c>
      <c r="C13" s="11">
        <f>C10/'Assumptions &amp; Thesis'!C52</f>
        <v>2.5632400430570481</v>
      </c>
      <c r="D13" s="11">
        <f>D10/'Assumptions &amp; Thesis'!C52</f>
        <v>4.924650161463946</v>
      </c>
      <c r="E13" s="11">
        <f>E10/'Assumptions &amp; Thesis'!C52</f>
        <v>-0.67683447365705351</v>
      </c>
      <c r="F13" s="11">
        <f>F10/'Assumptions &amp; Thesis'!C52</f>
        <v>14.337070601766516</v>
      </c>
      <c r="G13" s="11">
        <f>G10/'Assumptions &amp; Thesis'!C52</f>
        <v>18.345301330639799</v>
      </c>
      <c r="H13" s="11">
        <f>H10/'Assumptions &amp; Thesis'!C52</f>
        <v>22.389201016217172</v>
      </c>
      <c r="I13" s="11">
        <f>I10/'Assumptions &amp; Thesis'!C52</f>
        <v>26.809280958943738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4B37-9D2B-414A-B9DD-FBF7F8B26895}">
  <sheetPr>
    <tabColor rgb="FFC00000"/>
  </sheetPr>
  <dimension ref="A1:H40"/>
  <sheetViews>
    <sheetView tabSelected="1" workbookViewId="0">
      <pane ySplit="1" topLeftCell="A14" activePane="bottomLeft" state="frozen"/>
      <selection pane="bottomLeft" activeCell="L32" sqref="L32"/>
    </sheetView>
  </sheetViews>
  <sheetFormatPr defaultRowHeight="14.4" x14ac:dyDescent="0.3"/>
  <cols>
    <col min="1" max="1" width="44.44140625" customWidth="1"/>
  </cols>
  <sheetData>
    <row r="1" spans="1:6" ht="18" x14ac:dyDescent="0.35">
      <c r="A1" s="53" t="s">
        <v>139</v>
      </c>
    </row>
    <row r="3" spans="1:6" x14ac:dyDescent="0.3">
      <c r="A3" s="26" t="s">
        <v>140</v>
      </c>
      <c r="B3" s="20"/>
      <c r="C3" s="20"/>
      <c r="D3" s="20"/>
    </row>
    <row r="4" spans="1:6" x14ac:dyDescent="0.3">
      <c r="A4" s="4" t="s">
        <v>141</v>
      </c>
      <c r="B4" s="28">
        <f>'Assumptions &amp; Thesis'!C45</f>
        <v>0.14574999999999999</v>
      </c>
    </row>
    <row r="5" spans="1:6" x14ac:dyDescent="0.3">
      <c r="A5" s="4" t="s">
        <v>142</v>
      </c>
      <c r="B5" s="28">
        <f>'Assumptions &amp; Thesis'!C46</f>
        <v>0.05</v>
      </c>
    </row>
    <row r="6" spans="1:6" x14ac:dyDescent="0.3">
      <c r="A6" s="4" t="s">
        <v>87</v>
      </c>
      <c r="B6" s="54">
        <f>'Assumptions &amp; Thesis'!C52</f>
        <v>1.8580000000000001</v>
      </c>
    </row>
    <row r="7" spans="1:6" x14ac:dyDescent="0.3">
      <c r="A7" s="4" t="s">
        <v>143</v>
      </c>
      <c r="B7" s="11">
        <f>'Assumptions &amp; Thesis'!C51</f>
        <v>-50.22</v>
      </c>
    </row>
    <row r="8" spans="1:6" x14ac:dyDescent="0.3">
      <c r="A8" s="4" t="s">
        <v>144</v>
      </c>
      <c r="B8" s="55">
        <f>'Assumptions &amp; Thesis'!C53</f>
        <v>324</v>
      </c>
    </row>
    <row r="10" spans="1:6" x14ac:dyDescent="0.3">
      <c r="A10" s="26" t="s">
        <v>145</v>
      </c>
      <c r="B10" s="56" t="s">
        <v>9</v>
      </c>
      <c r="C10" s="56" t="s">
        <v>10</v>
      </c>
      <c r="D10" s="56" t="s">
        <v>11</v>
      </c>
      <c r="E10" s="56" t="s">
        <v>12</v>
      </c>
      <c r="F10" s="56" t="s">
        <v>13</v>
      </c>
    </row>
    <row r="11" spans="1:6" x14ac:dyDescent="0.3">
      <c r="A11" s="4" t="s">
        <v>146</v>
      </c>
      <c r="B11" s="6">
        <f>'Cash Flow'!F10</f>
        <v>26.638277178082188</v>
      </c>
      <c r="C11" s="6">
        <f>'Cash Flow'!G10</f>
        <v>34.085569872328747</v>
      </c>
      <c r="D11" s="6">
        <f>'Cash Flow'!H10</f>
        <v>41.599135488131509</v>
      </c>
      <c r="E11" s="6">
        <f>'Cash Flow'!I10</f>
        <v>49.81164402171747</v>
      </c>
      <c r="F11" s="6">
        <f>E11*(1+'Assumptions &amp; Thesis'!C16)</f>
        <v>55.789041304323568</v>
      </c>
    </row>
    <row r="12" spans="1:6" x14ac:dyDescent="0.3">
      <c r="A12" s="4" t="s">
        <v>147</v>
      </c>
      <c r="B12" s="22">
        <v>1</v>
      </c>
      <c r="C12" s="22">
        <v>2</v>
      </c>
      <c r="D12" s="22">
        <v>3</v>
      </c>
      <c r="E12" s="22">
        <v>4</v>
      </c>
      <c r="F12" s="22">
        <v>5</v>
      </c>
    </row>
    <row r="13" spans="1:6" x14ac:dyDescent="0.3">
      <c r="A13" s="4" t="s">
        <v>148</v>
      </c>
      <c r="B13" s="57">
        <f>1/(1+$B$4)^B12</f>
        <v>0.8727907484180667</v>
      </c>
      <c r="C13" s="57">
        <f>1/(1+$B$4)^C12</f>
        <v>0.76176369052416903</v>
      </c>
      <c r="D13" s="57">
        <f>1/(1+$B$4)^D12</f>
        <v>0.66486030157029807</v>
      </c>
      <c r="E13" s="57">
        <f>1/(1+$B$4)^E12</f>
        <v>0.58028392020100206</v>
      </c>
      <c r="F13" s="57">
        <f>1/(1+$B$4)^F12</f>
        <v>0.50646643700720229</v>
      </c>
    </row>
    <row r="14" spans="1:6" x14ac:dyDescent="0.3">
      <c r="A14" s="5" t="s">
        <v>149</v>
      </c>
      <c r="B14" s="11">
        <f>B11*B13</f>
        <v>23.24964187482626</v>
      </c>
      <c r="C14" s="11">
        <f>C11*C13</f>
        <v>25.965149499564575</v>
      </c>
      <c r="D14" s="11">
        <f>D11*D13</f>
        <v>27.657613765702802</v>
      </c>
      <c r="E14" s="11">
        <f>E11*E13</f>
        <v>28.90489606457902</v>
      </c>
      <c r="F14" s="11">
        <f>F11*F13</f>
        <v>28.2552769734484</v>
      </c>
    </row>
    <row r="16" spans="1:6" x14ac:dyDescent="0.3">
      <c r="A16" s="26" t="s">
        <v>150</v>
      </c>
      <c r="B16" s="20"/>
      <c r="C16" s="20"/>
    </row>
    <row r="17" spans="1:8" x14ac:dyDescent="0.3">
      <c r="A17" s="4" t="s">
        <v>151</v>
      </c>
      <c r="B17" s="6">
        <f>F11</f>
        <v>55.789041304323568</v>
      </c>
    </row>
    <row r="18" spans="1:8" x14ac:dyDescent="0.3">
      <c r="A18" s="4" t="s">
        <v>152</v>
      </c>
      <c r="B18" s="11">
        <f>B17*(1+B5)/(B4-B5)</f>
        <v>611.78583153566331</v>
      </c>
    </row>
    <row r="19" spans="1:8" x14ac:dyDescent="0.3">
      <c r="A19" s="5" t="s">
        <v>153</v>
      </c>
      <c r="B19" s="11">
        <f>B18*F13</f>
        <v>309.84899030935588</v>
      </c>
    </row>
    <row r="21" spans="1:8" x14ac:dyDescent="0.3">
      <c r="A21" s="26" t="s">
        <v>154</v>
      </c>
      <c r="B21" s="20"/>
      <c r="C21" s="20"/>
    </row>
    <row r="22" spans="1:8" x14ac:dyDescent="0.3">
      <c r="A22" s="4" t="s">
        <v>155</v>
      </c>
      <c r="B22" s="6">
        <f>SUM(B14:F14)</f>
        <v>134.03257817812104</v>
      </c>
    </row>
    <row r="23" spans="1:8" x14ac:dyDescent="0.3">
      <c r="A23" s="4" t="s">
        <v>153</v>
      </c>
      <c r="B23" s="6">
        <f>B19</f>
        <v>309.84899030935588</v>
      </c>
    </row>
    <row r="24" spans="1:8" x14ac:dyDescent="0.3">
      <c r="A24" s="5" t="s">
        <v>156</v>
      </c>
      <c r="B24" s="11">
        <f>B22+B23</f>
        <v>443.8815684874769</v>
      </c>
    </row>
    <row r="25" spans="1:8" x14ac:dyDescent="0.3">
      <c r="A25" s="4" t="s">
        <v>157</v>
      </c>
      <c r="B25" s="6">
        <f>-B7</f>
        <v>50.22</v>
      </c>
      <c r="C25" s="8" t="s">
        <v>158</v>
      </c>
    </row>
    <row r="26" spans="1:8" x14ac:dyDescent="0.3">
      <c r="A26" s="58" t="s">
        <v>159</v>
      </c>
      <c r="B26" s="59">
        <f>B24+B25</f>
        <v>494.10156848747692</v>
      </c>
    </row>
    <row r="27" spans="1:8" ht="15.6" x14ac:dyDescent="0.3">
      <c r="A27" s="60" t="s">
        <v>160</v>
      </c>
      <c r="B27" s="61">
        <f>B26/B6</f>
        <v>265.93195289961079</v>
      </c>
    </row>
    <row r="28" spans="1:8" x14ac:dyDescent="0.3">
      <c r="A28" s="4" t="s">
        <v>144</v>
      </c>
      <c r="B28" s="62">
        <f>B8</f>
        <v>324</v>
      </c>
    </row>
    <row r="29" spans="1:8" x14ac:dyDescent="0.3">
      <c r="A29" s="15" t="s">
        <v>161</v>
      </c>
      <c r="B29" s="63">
        <f>(B27-B28)/B28</f>
        <v>-0.17922236759379384</v>
      </c>
    </row>
    <row r="30" spans="1:8" x14ac:dyDescent="0.3">
      <c r="A30" s="4"/>
    </row>
    <row r="32" spans="1:8" ht="15" thickBot="1" x14ac:dyDescent="0.35">
      <c r="A32" s="26" t="s">
        <v>217</v>
      </c>
      <c r="B32" s="20"/>
      <c r="C32" s="20"/>
      <c r="D32" s="20"/>
      <c r="E32" s="20"/>
      <c r="F32" s="20"/>
      <c r="G32" s="20"/>
      <c r="H32" s="20"/>
    </row>
    <row r="33" spans="1:8" x14ac:dyDescent="0.3">
      <c r="A33" s="99" t="s">
        <v>218</v>
      </c>
      <c r="B33" s="96">
        <v>0.03</v>
      </c>
      <c r="C33" s="96">
        <v>0.04</v>
      </c>
      <c r="D33" s="96">
        <v>4.4999999999999998E-2</v>
      </c>
      <c r="E33" s="97">
        <v>0.05</v>
      </c>
      <c r="F33" s="96">
        <v>5.5E-2</v>
      </c>
      <c r="G33" s="96">
        <v>0.06</v>
      </c>
      <c r="H33" s="103">
        <v>7.0000000000000007E-2</v>
      </c>
    </row>
    <row r="34" spans="1:8" x14ac:dyDescent="0.3">
      <c r="A34" s="100">
        <v>0.12</v>
      </c>
      <c r="B34" s="94">
        <f>($B$11/(1+$A34)^1+$C$11/(1+$A34)^2+$D$11/(1+$A34)^3+$E$11/(1+$A34)^4+$F$11/(1+$A34)^5+($F$11*(1+B$33)/($A34-B$33))/(1+$A34)^5+$B$25)/$B$6</f>
        <v>299.45449556849064</v>
      </c>
      <c r="C34" s="94">
        <f t="shared" ref="C34:H40" si="0">($B$11/(1+$A34)^1+$C$11/(1+$A34)^2+$D$11/(1+$A34)^3+$E$11/(1+$A34)^4+$F$11/(1+$A34)^5+($F$11*(1+C$33)/($A34-C$33))/(1+$A34)^5+$B$25)/$B$6</f>
        <v>325.95771313051335</v>
      </c>
      <c r="D34" s="94">
        <f t="shared" si="0"/>
        <v>341.85964366772691</v>
      </c>
      <c r="E34" s="94">
        <f t="shared" si="0"/>
        <v>360.03327856739969</v>
      </c>
      <c r="F34" s="94">
        <f t="shared" si="0"/>
        <v>381.00285729779114</v>
      </c>
      <c r="G34" s="94">
        <f t="shared" si="0"/>
        <v>405.46736581658132</v>
      </c>
      <c r="H34" s="104">
        <f t="shared" si="0"/>
        <v>469.0750879654359</v>
      </c>
    </row>
    <row r="35" spans="1:8" x14ac:dyDescent="0.3">
      <c r="A35" s="100">
        <v>0.13</v>
      </c>
      <c r="B35" s="94">
        <f t="shared" ref="B35:H40" si="1">($B$11/(1+$A35)^1+$C$11/(1+$A35)^2+$D$11/(1+$A35)^3+$E$11/(1+$A35)^4+$F$11/(1+$A35)^5+($F$11*(1+B$33)/($A35-B$33))/(1+$A35)^5+$B$25)/$B$6</f>
        <v>270.20077376860627</v>
      </c>
      <c r="C35" s="94">
        <f t="shared" si="0"/>
        <v>290.66271841112507</v>
      </c>
      <c r="D35" s="94">
        <f t="shared" si="0"/>
        <v>302.69915643613604</v>
      </c>
      <c r="E35" s="94">
        <f t="shared" si="0"/>
        <v>316.24014921427363</v>
      </c>
      <c r="F35" s="94">
        <f t="shared" si="0"/>
        <v>331.58660769616262</v>
      </c>
      <c r="G35" s="94">
        <f t="shared" si="0"/>
        <v>349.12541738975017</v>
      </c>
      <c r="H35" s="104">
        <f t="shared" si="0"/>
        <v>392.97244162371908</v>
      </c>
    </row>
    <row r="36" spans="1:8" x14ac:dyDescent="0.3">
      <c r="A36" s="100">
        <v>0.14000000000000001</v>
      </c>
      <c r="B36" s="94">
        <f t="shared" si="1"/>
        <v>246.32538424865095</v>
      </c>
      <c r="C36" s="94">
        <f t="shared" si="0"/>
        <v>262.48723523684981</v>
      </c>
      <c r="D36" s="94">
        <f t="shared" si="0"/>
        <v>271.84409633528071</v>
      </c>
      <c r="E36" s="94">
        <f t="shared" si="0"/>
        <v>282.24060866687068</v>
      </c>
      <c r="F36" s="94">
        <f t="shared" si="0"/>
        <v>293.86024009629466</v>
      </c>
      <c r="G36" s="94">
        <f t="shared" si="0"/>
        <v>306.93232545439673</v>
      </c>
      <c r="H36" s="104">
        <f t="shared" si="0"/>
        <v>338.67881846693024</v>
      </c>
    </row>
    <row r="37" spans="1:8" x14ac:dyDescent="0.3">
      <c r="A37" s="101">
        <v>0.14574999999999999</v>
      </c>
      <c r="B37" s="94">
        <f t="shared" si="1"/>
        <v>234.48967959123408</v>
      </c>
      <c r="C37" s="94">
        <f t="shared" si="0"/>
        <v>248.72418393769777</v>
      </c>
      <c r="D37" s="94">
        <f t="shared" si="0"/>
        <v>256.90107663299881</v>
      </c>
      <c r="E37" s="95">
        <f t="shared" si="0"/>
        <v>265.93195289961091</v>
      </c>
      <c r="F37" s="94">
        <f t="shared" si="0"/>
        <v>275.95796704684113</v>
      </c>
      <c r="G37" s="94">
        <f t="shared" si="0"/>
        <v>287.1531956718826</v>
      </c>
      <c r="H37" s="104">
        <f t="shared" si="0"/>
        <v>313.9774068328731</v>
      </c>
    </row>
    <row r="38" spans="1:8" x14ac:dyDescent="0.3">
      <c r="A38" s="100">
        <v>0.155</v>
      </c>
      <c r="B38" s="94">
        <f t="shared" si="1"/>
        <v>217.7681444768192</v>
      </c>
      <c r="C38" s="94">
        <f t="shared" si="0"/>
        <v>229.50542267765087</v>
      </c>
      <c r="D38" s="94">
        <f t="shared" si="0"/>
        <v>236.1743307463052</v>
      </c>
      <c r="E38" s="94">
        <f t="shared" si="0"/>
        <v>243.47837291673613</v>
      </c>
      <c r="F38" s="94">
        <f t="shared" si="0"/>
        <v>251.51281930421018</v>
      </c>
      <c r="G38" s="94">
        <f t="shared" si="0"/>
        <v>260.39299689036568</v>
      </c>
      <c r="H38" s="104">
        <f t="shared" si="0"/>
        <v>281.28753238720225</v>
      </c>
    </row>
    <row r="39" spans="1:8" x14ac:dyDescent="0.3">
      <c r="A39" s="100">
        <v>0.17</v>
      </c>
      <c r="B39" s="94">
        <f t="shared" si="1"/>
        <v>195.42458581419152</v>
      </c>
      <c r="C39" s="94">
        <f t="shared" si="0"/>
        <v>204.22875447686027</v>
      </c>
      <c r="D39" s="94">
        <f t="shared" si="0"/>
        <v>209.15908892795471</v>
      </c>
      <c r="E39" s="94">
        <f t="shared" si="0"/>
        <v>214.50028458330704</v>
      </c>
      <c r="F39" s="94">
        <f t="shared" si="0"/>
        <v>220.30593203477699</v>
      </c>
      <c r="G39" s="94">
        <f t="shared" si="0"/>
        <v>226.63936561819875</v>
      </c>
      <c r="H39" s="104">
        <f t="shared" si="0"/>
        <v>241.20626286006876</v>
      </c>
    </row>
    <row r="40" spans="1:8" ht="15" thickBot="1" x14ac:dyDescent="0.35">
      <c r="A40" s="102">
        <v>0.19</v>
      </c>
      <c r="B40" s="98">
        <f t="shared" si="1"/>
        <v>172.26953963456762</v>
      </c>
      <c r="C40" s="98">
        <f t="shared" si="0"/>
        <v>178.50838327680634</v>
      </c>
      <c r="D40" s="98">
        <f t="shared" si="0"/>
        <v>181.95050390700695</v>
      </c>
      <c r="E40" s="98">
        <f t="shared" si="0"/>
        <v>185.63849029650765</v>
      </c>
      <c r="F40" s="98">
        <f t="shared" si="0"/>
        <v>189.59966086300838</v>
      </c>
      <c r="G40" s="98">
        <f t="shared" si="0"/>
        <v>193.8655368577015</v>
      </c>
      <c r="H40" s="105">
        <f t="shared" si="0"/>
        <v>203.46375784576099</v>
      </c>
    </row>
  </sheetData>
  <pageMargins left="0.7" right="0.7" top="0.75" bottom="0.75" header="0.3" footer="0.3"/>
  <ignoredErrors>
    <ignoredError sqref="B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44D9-3556-41C2-895F-592E1C34DC0D}">
  <sheetPr>
    <tabColor rgb="FFED7D31"/>
  </sheetPr>
  <dimension ref="A1:I40"/>
  <sheetViews>
    <sheetView topLeftCell="A22" workbookViewId="0">
      <selection activeCell="B18" sqref="B18"/>
    </sheetView>
  </sheetViews>
  <sheetFormatPr defaultRowHeight="14.4" x14ac:dyDescent="0.3"/>
  <cols>
    <col min="1" max="1" width="38.88671875" customWidth="1"/>
    <col min="2" max="2" width="18.44140625" bestFit="1" customWidth="1"/>
    <col min="3" max="3" width="17.5546875" bestFit="1" customWidth="1"/>
    <col min="4" max="4" width="18.88671875" bestFit="1" customWidth="1"/>
    <col min="5" max="5" width="17.33203125" customWidth="1"/>
    <col min="6" max="6" width="9.5546875" bestFit="1" customWidth="1"/>
    <col min="7" max="7" width="5.21875" bestFit="1" customWidth="1"/>
    <col min="8" max="8" width="10" bestFit="1" customWidth="1"/>
    <col min="9" max="9" width="12.44140625" bestFit="1" customWidth="1"/>
  </cols>
  <sheetData>
    <row r="1" spans="1:9" ht="18" x14ac:dyDescent="0.35">
      <c r="A1" s="65" t="s">
        <v>162</v>
      </c>
    </row>
    <row r="3" spans="1:9" x14ac:dyDescent="0.3">
      <c r="A3" s="66" t="s">
        <v>163</v>
      </c>
      <c r="B3" s="67"/>
      <c r="C3" s="67"/>
      <c r="D3" s="67"/>
      <c r="E3" s="67"/>
      <c r="F3" s="67"/>
      <c r="G3" s="67"/>
      <c r="H3" s="67"/>
      <c r="I3" s="67"/>
    </row>
    <row r="4" spans="1:9" x14ac:dyDescent="0.3">
      <c r="A4" s="69" t="s">
        <v>164</v>
      </c>
      <c r="B4" s="92" t="s">
        <v>165</v>
      </c>
      <c r="C4" s="92" t="s">
        <v>166</v>
      </c>
      <c r="D4" s="92" t="s">
        <v>167</v>
      </c>
      <c r="E4" s="92" t="s">
        <v>168</v>
      </c>
      <c r="F4" s="92" t="s">
        <v>169</v>
      </c>
      <c r="G4" s="92" t="s">
        <v>170</v>
      </c>
      <c r="H4" s="92" t="s">
        <v>171</v>
      </c>
      <c r="I4" s="92" t="s">
        <v>172</v>
      </c>
    </row>
    <row r="5" spans="1:9" x14ac:dyDescent="0.3">
      <c r="A5" s="70" t="s">
        <v>173</v>
      </c>
      <c r="B5" s="64">
        <v>602</v>
      </c>
      <c r="C5" s="64">
        <v>166</v>
      </c>
      <c r="D5" s="71">
        <v>28.2</v>
      </c>
      <c r="E5" s="72">
        <v>28.8</v>
      </c>
      <c r="F5" s="72">
        <v>23.3</v>
      </c>
      <c r="G5" s="72">
        <v>12.3</v>
      </c>
      <c r="H5" s="73">
        <v>0.187</v>
      </c>
      <c r="I5" s="73">
        <v>0.68</v>
      </c>
    </row>
    <row r="6" spans="1:9" x14ac:dyDescent="0.3">
      <c r="A6" s="4" t="s">
        <v>174</v>
      </c>
      <c r="B6" s="64">
        <v>1632</v>
      </c>
      <c r="C6" s="64">
        <v>331</v>
      </c>
      <c r="D6" s="71">
        <v>31.7</v>
      </c>
      <c r="E6" s="72">
        <v>56.1</v>
      </c>
      <c r="F6" s="72">
        <v>25</v>
      </c>
      <c r="G6" s="72">
        <v>11.2</v>
      </c>
      <c r="H6" s="73">
        <v>9.6000000000000002E-2</v>
      </c>
      <c r="I6" s="73">
        <v>0.25</v>
      </c>
    </row>
    <row r="7" spans="1:9" x14ac:dyDescent="0.3">
      <c r="A7" s="4" t="s">
        <v>175</v>
      </c>
      <c r="B7" s="64">
        <v>1350</v>
      </c>
      <c r="C7" s="64">
        <v>620</v>
      </c>
      <c r="D7" s="71">
        <v>45</v>
      </c>
      <c r="E7" s="72">
        <v>30</v>
      </c>
      <c r="F7" s="72">
        <v>18</v>
      </c>
      <c r="G7" s="72">
        <v>7.5</v>
      </c>
      <c r="H7" s="73">
        <v>7.2999999999999995E-2</v>
      </c>
      <c r="I7" s="73">
        <v>0.15</v>
      </c>
    </row>
    <row r="8" spans="1:9" x14ac:dyDescent="0.3">
      <c r="A8" s="4" t="s">
        <v>176</v>
      </c>
      <c r="B8" s="64">
        <v>800</v>
      </c>
      <c r="C8" s="64">
        <v>150</v>
      </c>
      <c r="D8" s="71">
        <v>18</v>
      </c>
      <c r="E8" s="72">
        <v>44.4</v>
      </c>
      <c r="F8" s="72">
        <v>32</v>
      </c>
      <c r="G8" s="72">
        <v>15</v>
      </c>
      <c r="H8" s="73">
        <v>0.12</v>
      </c>
      <c r="I8" s="73">
        <v>0.22</v>
      </c>
    </row>
    <row r="9" spans="1:9" x14ac:dyDescent="0.3">
      <c r="A9" s="4" t="s">
        <v>177</v>
      </c>
      <c r="B9" s="64">
        <v>1200</v>
      </c>
      <c r="C9" s="64">
        <v>350</v>
      </c>
      <c r="D9" s="71">
        <v>30</v>
      </c>
      <c r="E9" s="72">
        <v>40</v>
      </c>
      <c r="F9" s="72">
        <v>22</v>
      </c>
      <c r="G9" s="72">
        <v>8</v>
      </c>
      <c r="H9" s="73">
        <v>8.5999999999999993E-2</v>
      </c>
      <c r="I9" s="73">
        <v>0.12</v>
      </c>
    </row>
    <row r="10" spans="1:9" x14ac:dyDescent="0.3">
      <c r="A10" s="4" t="s">
        <v>178</v>
      </c>
      <c r="B10" s="64">
        <v>900</v>
      </c>
      <c r="C10" s="64">
        <v>600</v>
      </c>
      <c r="D10" s="71">
        <v>35</v>
      </c>
      <c r="E10" s="72">
        <v>25.7</v>
      </c>
      <c r="F10" s="72">
        <v>15</v>
      </c>
      <c r="G10" s="72">
        <v>5</v>
      </c>
      <c r="H10" s="73">
        <v>5.8000000000000003E-2</v>
      </c>
      <c r="I10" s="73">
        <v>0.1</v>
      </c>
    </row>
    <row r="12" spans="1:9" x14ac:dyDescent="0.3">
      <c r="A12" s="74" t="s">
        <v>179</v>
      </c>
      <c r="B12" s="75">
        <f>MEDIAN(B6:B10)</f>
        <v>1200</v>
      </c>
      <c r="C12" s="75">
        <f>MEDIAN(C6:C10)</f>
        <v>350</v>
      </c>
      <c r="D12" s="76">
        <f>MEDIAN(D6:D10)</f>
        <v>31.7</v>
      </c>
      <c r="E12" s="77">
        <f>MEDIAN(E6:E10)</f>
        <v>40</v>
      </c>
      <c r="F12" s="77">
        <f>MEDIAN(F6:F10)</f>
        <v>22</v>
      </c>
      <c r="G12" s="77">
        <f>MEDIAN(G6:G10)</f>
        <v>8</v>
      </c>
      <c r="H12" s="78">
        <f>MEDIAN(H6:H10)</f>
        <v>8.5999999999999993E-2</v>
      </c>
      <c r="I12" s="78">
        <f>MEDIAN(I6:I10)</f>
        <v>0.15</v>
      </c>
    </row>
    <row r="13" spans="1:9" x14ac:dyDescent="0.3">
      <c r="A13" s="5" t="s">
        <v>180</v>
      </c>
      <c r="B13" s="79">
        <f>AVERAGE(B6:B10)</f>
        <v>1176.4000000000001</v>
      </c>
      <c r="C13" s="79">
        <f>AVERAGE(C6:C10)</f>
        <v>410.2</v>
      </c>
      <c r="D13" s="80">
        <f>AVERAGE(D6:D10)</f>
        <v>31.939999999999998</v>
      </c>
      <c r="E13" s="81">
        <f>AVERAGE(E6:E10)</f>
        <v>39.239999999999995</v>
      </c>
      <c r="F13" s="81">
        <f>AVERAGE(F6:F10)</f>
        <v>22.4</v>
      </c>
      <c r="G13" s="81">
        <f>AVERAGE(G6:G10)</f>
        <v>9.34</v>
      </c>
      <c r="H13" s="29">
        <f>AVERAGE(H6:H10)</f>
        <v>8.6599999999999996E-2</v>
      </c>
      <c r="I13" s="29">
        <f>AVERAGE(I6:I10)</f>
        <v>0.16799999999999998</v>
      </c>
    </row>
    <row r="15" spans="1:9" x14ac:dyDescent="0.3">
      <c r="A15" s="66" t="s">
        <v>181</v>
      </c>
      <c r="B15" s="67"/>
      <c r="C15" s="67"/>
      <c r="D15" s="67"/>
      <c r="E15" s="67"/>
    </row>
    <row r="16" spans="1:9" x14ac:dyDescent="0.3">
      <c r="A16" s="69" t="s">
        <v>182</v>
      </c>
      <c r="B16" s="92" t="s">
        <v>183</v>
      </c>
      <c r="C16" s="92" t="s">
        <v>184</v>
      </c>
      <c r="D16" s="92" t="s">
        <v>185</v>
      </c>
      <c r="E16" s="92" t="s">
        <v>186</v>
      </c>
    </row>
    <row r="17" spans="1:5" x14ac:dyDescent="0.3">
      <c r="A17" s="4" t="s">
        <v>187</v>
      </c>
      <c r="B17" s="72">
        <f>E12</f>
        <v>40</v>
      </c>
      <c r="C17" s="82">
        <f>'P&amp;L'!I20</f>
        <v>41.257607999999998</v>
      </c>
      <c r="D17" s="82">
        <f>B17*C17</f>
        <v>1650.30432</v>
      </c>
      <c r="E17" s="79">
        <f>D17/'Assumptions &amp; Thesis'!C52</f>
        <v>888.2154574811625</v>
      </c>
    </row>
    <row r="18" spans="1:5" x14ac:dyDescent="0.3">
      <c r="A18" s="4" t="s">
        <v>188</v>
      </c>
      <c r="B18" s="72">
        <f>F12</f>
        <v>22</v>
      </c>
      <c r="C18" s="82">
        <f>'P&amp;L'!I10</f>
        <v>55.260143999999997</v>
      </c>
      <c r="D18" s="82">
        <f>B18*C18+'Assumptions &amp; Thesis'!C51</f>
        <v>1165.503168</v>
      </c>
      <c r="E18" s="79">
        <f>D18/'Assumptions &amp; Thesis'!C52</f>
        <v>627.28911087190522</v>
      </c>
    </row>
    <row r="20" spans="1:5" x14ac:dyDescent="0.3">
      <c r="A20" s="66" t="s">
        <v>189</v>
      </c>
      <c r="B20" s="67"/>
      <c r="C20" s="67"/>
      <c r="D20" s="67"/>
      <c r="E20" s="67"/>
    </row>
    <row r="21" spans="1:5" x14ac:dyDescent="0.3">
      <c r="A21" s="68" t="s">
        <v>182</v>
      </c>
      <c r="B21" s="92" t="s">
        <v>186</v>
      </c>
      <c r="C21" s="92" t="s">
        <v>190</v>
      </c>
      <c r="D21" s="92" t="s">
        <v>191</v>
      </c>
    </row>
    <row r="22" spans="1:5" x14ac:dyDescent="0.3">
      <c r="A22" s="5" t="s">
        <v>192</v>
      </c>
      <c r="B22" s="79">
        <f>'DCF Valuation'!B27</f>
        <v>265.93195289961079</v>
      </c>
      <c r="C22" s="73">
        <f>(B22-'Assumptions &amp; Thesis'!C53)/'Assumptions &amp; Thesis'!C53</f>
        <v>-0.17922236759379384</v>
      </c>
      <c r="D22" s="30" t="str">
        <f>IF(C22&gt;0.1,"UPSIDE",IF(C22&lt;-0.1,"DOWNSIDE","FAIR"))</f>
        <v>DOWNSIDE</v>
      </c>
    </row>
    <row r="23" spans="1:5" x14ac:dyDescent="0.3">
      <c r="A23" s="5" t="s">
        <v>193</v>
      </c>
      <c r="B23" s="79">
        <f>E17</f>
        <v>888.2154574811625</v>
      </c>
      <c r="C23" s="73">
        <f>(B23-'Assumptions &amp; Thesis'!C53)/'Assumptions &amp; Thesis'!C53</f>
        <v>1.7414057329665509</v>
      </c>
      <c r="D23" s="30" t="str">
        <f>IF(C23&gt;0.1,"UPSIDE",IF(C23&lt;-0.1,"DOWNSIDE","FAIR"))</f>
        <v>UPSIDE</v>
      </c>
    </row>
    <row r="24" spans="1:5" x14ac:dyDescent="0.3">
      <c r="A24" s="5" t="s">
        <v>194</v>
      </c>
      <c r="B24" s="79">
        <f>E18</f>
        <v>627.28911087190522</v>
      </c>
      <c r="C24" s="73">
        <f>(B24-'Assumptions &amp; Thesis'!C53)/'Assumptions &amp; Thesis'!C53</f>
        <v>0.93607750269106549</v>
      </c>
      <c r="D24" s="30" t="str">
        <f>IF(C24&gt;0.1,"UPSIDE",IF(C24&lt;-0.1,"DOWNSIDE","FAIR"))</f>
        <v>UPSIDE</v>
      </c>
    </row>
    <row r="25" spans="1:5" x14ac:dyDescent="0.3">
      <c r="A25" s="4"/>
    </row>
    <row r="26" spans="1:5" x14ac:dyDescent="0.3">
      <c r="A26" s="83" t="s">
        <v>195</v>
      </c>
    </row>
    <row r="27" spans="1:5" x14ac:dyDescent="0.3">
      <c r="A27" s="8" t="s">
        <v>196</v>
      </c>
    </row>
    <row r="29" spans="1:5" ht="15.6" x14ac:dyDescent="0.3">
      <c r="A29" s="84" t="s">
        <v>199</v>
      </c>
      <c r="B29" s="24"/>
      <c r="C29" s="24"/>
      <c r="D29" s="24"/>
      <c r="E29" s="24"/>
    </row>
    <row r="30" spans="1:5" x14ac:dyDescent="0.3">
      <c r="A30" s="85" t="s">
        <v>182</v>
      </c>
      <c r="B30" s="91" t="s">
        <v>186</v>
      </c>
      <c r="C30" s="91" t="s">
        <v>200</v>
      </c>
      <c r="D30" s="91" t="s">
        <v>201</v>
      </c>
      <c r="E30" s="91" t="s">
        <v>202</v>
      </c>
    </row>
    <row r="31" spans="1:5" x14ac:dyDescent="0.3">
      <c r="A31" s="4" t="s">
        <v>192</v>
      </c>
      <c r="B31" s="64">
        <f>B22</f>
        <v>265.93195289961079</v>
      </c>
      <c r="C31" s="86">
        <v>0.5</v>
      </c>
      <c r="D31" s="71">
        <f>B31*C31</f>
        <v>132.9659764498054</v>
      </c>
      <c r="E31" s="7" t="s">
        <v>203</v>
      </c>
    </row>
    <row r="32" spans="1:5" x14ac:dyDescent="0.3">
      <c r="A32" s="4" t="s">
        <v>204</v>
      </c>
      <c r="B32" s="64">
        <f>B24</f>
        <v>627.28911087190522</v>
      </c>
      <c r="C32" s="86">
        <v>0.3</v>
      </c>
      <c r="D32" s="71">
        <f>B32*C32</f>
        <v>188.18673326157156</v>
      </c>
      <c r="E32" s="7" t="s">
        <v>205</v>
      </c>
    </row>
    <row r="33" spans="1:5" x14ac:dyDescent="0.3">
      <c r="A33" s="4" t="s">
        <v>206</v>
      </c>
      <c r="B33" s="64">
        <f>B23</f>
        <v>888.2154574811625</v>
      </c>
      <c r="C33" s="86">
        <v>0.2</v>
      </c>
      <c r="D33" s="71">
        <f>B33*C33</f>
        <v>177.6430914962325</v>
      </c>
      <c r="E33" s="7" t="s">
        <v>207</v>
      </c>
    </row>
    <row r="34" spans="1:5" x14ac:dyDescent="0.3">
      <c r="A34" s="8" t="s">
        <v>208</v>
      </c>
      <c r="C34" s="87">
        <f>SUM(C31:C33)</f>
        <v>1</v>
      </c>
    </row>
    <row r="36" spans="1:5" ht="17.399999999999999" x14ac:dyDescent="0.35">
      <c r="A36" s="88" t="s">
        <v>209</v>
      </c>
      <c r="D36" s="89">
        <f>SUM(D31:D33)</f>
        <v>498.79580120760943</v>
      </c>
    </row>
    <row r="37" spans="1:5" x14ac:dyDescent="0.3">
      <c r="A37" s="4" t="s">
        <v>144</v>
      </c>
      <c r="D37" s="64">
        <f>'Assumptions &amp; Thesis'!C53</f>
        <v>324</v>
      </c>
    </row>
    <row r="38" spans="1:5" x14ac:dyDescent="0.3">
      <c r="A38" s="15" t="s">
        <v>210</v>
      </c>
      <c r="D38" s="90">
        <f>(D36-D37)/D37</f>
        <v>0.53949321360373281</v>
      </c>
    </row>
    <row r="40" spans="1:5" x14ac:dyDescent="0.3">
      <c r="A40" s="8"/>
    </row>
  </sheetData>
  <pageMargins left="0.7" right="0.7" top="0.75" bottom="0.75" header="0.3" footer="0.3"/>
  <ignoredErrors>
    <ignoredError sqref="B12:I13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 &amp; Thesis</vt:lpstr>
      <vt:lpstr>P&amp;L</vt:lpstr>
      <vt:lpstr>Balance Sheet</vt:lpstr>
      <vt:lpstr>Cash Flow</vt:lpstr>
      <vt:lpstr>DCF Valuation</vt:lpstr>
      <vt:lpstr>Comparable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2026-02-20T05:10:13Z</dcterms:created>
  <dcterms:modified xsi:type="dcterms:W3CDTF">2026-02-20T09:08:37Z</dcterms:modified>
</cp:coreProperties>
</file>