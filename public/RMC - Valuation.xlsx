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f078f2e7b793b4/Documents/"/>
    </mc:Choice>
  </mc:AlternateContent>
  <xr:revisionPtr revIDLastSave="2" documentId="8_{EF343664-C90D-49D7-95EC-09D4A72939E9}" xr6:coauthVersionLast="47" xr6:coauthVersionMax="47" xr10:uidLastSave="{B6A105D0-8140-4613-A361-C2F66B339C85}"/>
  <bookViews>
    <workbookView xWindow="-108" yWindow="-108" windowWidth="23256" windowHeight="12456" firstSheet="6" activeTab="10" xr2:uid="{37187665-72D9-4714-B316-3064B5358A4E}"/>
  </bookViews>
  <sheets>
    <sheet name="Cover" sheetId="2" r:id="rId1"/>
    <sheet name="Assumptions" sheetId="3" r:id="rId2"/>
    <sheet name="Mgmt Tracker" sheetId="4" r:id="rId3"/>
    <sheet name="Income Statement" sheetId="5" r:id="rId4"/>
    <sheet name="Balance Sheet" sheetId="6" r:id="rId5"/>
    <sheet name="Cash Flow" sheetId="7" r:id="rId6"/>
    <sheet name="Schedules" sheetId="8" r:id="rId7"/>
    <sheet name="DCF Valuation" sheetId="9" r:id="rId8"/>
    <sheet name="Comps" sheetId="10" r:id="rId9"/>
    <sheet name="Blended Valuation" sheetId="11" r:id="rId10"/>
    <sheet name="Sensitivity" sheetId="12" r:id="rId11"/>
    <sheet name="Segment Analysis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0" i="8" l="1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1" i="8"/>
  <c r="N21" i="8"/>
  <c r="M21" i="8"/>
  <c r="L21" i="8"/>
  <c r="K21" i="8"/>
  <c r="O20" i="8"/>
  <c r="O19" i="8"/>
  <c r="N19" i="8"/>
  <c r="M19" i="8"/>
  <c r="L19" i="8"/>
  <c r="K19" i="8"/>
  <c r="O18" i="8"/>
  <c r="N18" i="8"/>
  <c r="M18" i="8"/>
  <c r="L18" i="8"/>
  <c r="K18" i="8"/>
  <c r="O17" i="8"/>
  <c r="N17" i="8"/>
  <c r="N20" i="8" s="1"/>
  <c r="M17" i="8"/>
  <c r="M20" i="8" s="1"/>
  <c r="L17" i="8"/>
  <c r="L20" i="8" s="1"/>
  <c r="K17" i="8"/>
  <c r="K20" i="8" s="1"/>
  <c r="O9" i="8"/>
  <c r="N9" i="8"/>
  <c r="M9" i="8"/>
  <c r="L9" i="8"/>
  <c r="K9" i="8"/>
  <c r="O7" i="8"/>
  <c r="N7" i="8"/>
  <c r="M7" i="8"/>
  <c r="L7" i="8"/>
  <c r="K7" i="8"/>
  <c r="K8" i="8" s="1"/>
  <c r="O6" i="8"/>
  <c r="O8" i="8" s="1"/>
  <c r="N6" i="8"/>
  <c r="N8" i="8" s="1"/>
  <c r="M6" i="8"/>
  <c r="M8" i="8" s="1"/>
  <c r="L6" i="8"/>
  <c r="L8" i="8" s="1"/>
  <c r="K6" i="8"/>
  <c r="P35" i="6"/>
  <c r="O35" i="6"/>
  <c r="N35" i="6"/>
  <c r="M35" i="6"/>
  <c r="L35" i="6"/>
  <c r="K35" i="6"/>
  <c r="J35" i="6"/>
  <c r="I35" i="6"/>
  <c r="H35" i="6"/>
  <c r="G35" i="6"/>
  <c r="P15" i="6"/>
  <c r="O15" i="6"/>
  <c r="N15" i="6"/>
  <c r="M15" i="6"/>
  <c r="L15" i="6"/>
  <c r="K15" i="6"/>
  <c r="J15" i="6"/>
  <c r="I15" i="6"/>
  <c r="H15" i="6"/>
  <c r="G15" i="6"/>
  <c r="G24" i="3"/>
  <c r="F24" i="3"/>
  <c r="E24" i="3"/>
  <c r="D24" i="3"/>
  <c r="P25" i="6"/>
  <c r="O25" i="6"/>
  <c r="N25" i="6"/>
  <c r="M25" i="6"/>
  <c r="L25" i="6"/>
  <c r="K25" i="6"/>
  <c r="J25" i="6"/>
  <c r="I25" i="6"/>
  <c r="H25" i="6"/>
  <c r="G25" i="6"/>
  <c r="P29" i="6"/>
  <c r="O29" i="6"/>
  <c r="N29" i="6"/>
  <c r="M29" i="6"/>
  <c r="L29" i="6"/>
  <c r="K29" i="6"/>
  <c r="J29" i="6"/>
  <c r="I29" i="6"/>
  <c r="H29" i="6"/>
  <c r="G29" i="6"/>
  <c r="P8" i="6"/>
  <c r="O8" i="6"/>
  <c r="N8" i="6"/>
  <c r="M8" i="6"/>
  <c r="L8" i="6"/>
  <c r="K8" i="6"/>
  <c r="J8" i="6"/>
  <c r="I8" i="6"/>
  <c r="H8" i="6"/>
  <c r="G8" i="6"/>
  <c r="E21" i="8"/>
  <c r="D21" i="8"/>
  <c r="C21" i="8"/>
  <c r="B21" i="8"/>
  <c r="E19" i="8"/>
  <c r="D19" i="8"/>
  <c r="C19" i="8"/>
  <c r="B19" i="8"/>
  <c r="E18" i="8"/>
  <c r="D18" i="8"/>
  <c r="C18" i="8"/>
  <c r="B18" i="8"/>
  <c r="E17" i="8"/>
  <c r="D17" i="8"/>
  <c r="C17" i="8"/>
  <c r="B17" i="8"/>
  <c r="E7" i="8"/>
  <c r="D7" i="8"/>
  <c r="C7" i="8"/>
  <c r="B7" i="8"/>
  <c r="E6" i="8"/>
  <c r="E8" i="8" s="1"/>
  <c r="D6" i="8"/>
  <c r="D8" i="8" s="1"/>
  <c r="D10" i="8" s="1"/>
  <c r="C6" i="8"/>
  <c r="C8" i="8" s="1"/>
  <c r="B6" i="8"/>
  <c r="B8" i="8" s="1"/>
  <c r="E9" i="8"/>
  <c r="D9" i="8"/>
  <c r="C9" i="8"/>
  <c r="B9" i="8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O14" i="3"/>
  <c r="N14" i="3"/>
  <c r="M14" i="3"/>
  <c r="J14" i="3"/>
  <c r="I14" i="3"/>
  <c r="H14" i="3"/>
  <c r="E14" i="3"/>
  <c r="D14" i="3"/>
  <c r="Q11" i="3"/>
  <c r="Q14" i="3" s="1"/>
  <c r="P11" i="3"/>
  <c r="P14" i="3" s="1"/>
  <c r="O11" i="3"/>
  <c r="N11" i="3"/>
  <c r="M11" i="3"/>
  <c r="L11" i="3"/>
  <c r="L14" i="3" s="1"/>
  <c r="K11" i="3"/>
  <c r="K14" i="3" s="1"/>
  <c r="J11" i="3"/>
  <c r="I11" i="3"/>
  <c r="H11" i="3"/>
  <c r="G11" i="3"/>
  <c r="G14" i="3" s="1"/>
  <c r="F11" i="3"/>
  <c r="F14" i="3" s="1"/>
  <c r="E11" i="3"/>
  <c r="D11" i="3"/>
  <c r="Q7" i="3"/>
  <c r="P7" i="3"/>
  <c r="O7" i="3"/>
  <c r="N7" i="3"/>
  <c r="M7" i="3"/>
  <c r="L7" i="3"/>
  <c r="K7" i="3"/>
  <c r="J7" i="3"/>
  <c r="I7" i="3"/>
  <c r="H7" i="3"/>
  <c r="G7" i="3"/>
  <c r="F7" i="3"/>
  <c r="E7" i="3"/>
  <c r="D5" i="13"/>
  <c r="D10" i="13"/>
  <c r="C5" i="13"/>
  <c r="C13" i="13" s="1"/>
  <c r="C10" i="13"/>
  <c r="I13" i="10"/>
  <c r="H13" i="10"/>
  <c r="G13" i="10"/>
  <c r="F16" i="7"/>
  <c r="E30" i="7"/>
  <c r="F30" i="7"/>
  <c r="F28" i="7"/>
  <c r="E28" i="7"/>
  <c r="D30" i="7"/>
  <c r="D28" i="7"/>
  <c r="C30" i="7"/>
  <c r="C28" i="7"/>
  <c r="F29" i="7"/>
  <c r="E29" i="7"/>
  <c r="D29" i="7"/>
  <c r="D39" i="3"/>
  <c r="D38" i="3"/>
  <c r="F19" i="8"/>
  <c r="G19" i="8"/>
  <c r="H19" i="8"/>
  <c r="I19" i="8"/>
  <c r="J19" i="8"/>
  <c r="F18" i="8"/>
  <c r="G18" i="8"/>
  <c r="H18" i="8"/>
  <c r="I18" i="8"/>
  <c r="J18" i="8"/>
  <c r="F17" i="8"/>
  <c r="G17" i="8"/>
  <c r="G20" i="8" s="1"/>
  <c r="H17" i="8"/>
  <c r="H20" i="8" s="1"/>
  <c r="I17" i="8"/>
  <c r="J17" i="8"/>
  <c r="J20" i="8" s="1"/>
  <c r="F8" i="8"/>
  <c r="G8" i="8"/>
  <c r="H8" i="8"/>
  <c r="I8" i="8"/>
  <c r="J8" i="8"/>
  <c r="F7" i="8"/>
  <c r="G7" i="8"/>
  <c r="H7" i="8"/>
  <c r="I7" i="8"/>
  <c r="J7" i="8"/>
  <c r="F6" i="8"/>
  <c r="G6" i="8"/>
  <c r="H6" i="8"/>
  <c r="I6" i="8"/>
  <c r="J6" i="8"/>
  <c r="C27" i="9"/>
  <c r="C25" i="9"/>
  <c r="C20" i="9"/>
  <c r="C9" i="9"/>
  <c r="D9" i="9"/>
  <c r="E9" i="9"/>
  <c r="F9" i="9"/>
  <c r="G9" i="9"/>
  <c r="H9" i="9"/>
  <c r="I9" i="9"/>
  <c r="J9" i="9"/>
  <c r="K9" i="9"/>
  <c r="L9" i="9"/>
  <c r="H6" i="5"/>
  <c r="I6" i="5"/>
  <c r="I7" i="5" s="1"/>
  <c r="J6" i="5"/>
  <c r="J7" i="5" s="1"/>
  <c r="K6" i="5"/>
  <c r="K7" i="5" s="1"/>
  <c r="L6" i="5"/>
  <c r="M6" i="5"/>
  <c r="M7" i="5" s="1"/>
  <c r="N6" i="5"/>
  <c r="O6" i="5"/>
  <c r="P6" i="5"/>
  <c r="G20" i="5"/>
  <c r="G22" i="7" s="1"/>
  <c r="H20" i="5"/>
  <c r="H8" i="7" s="1"/>
  <c r="I20" i="5"/>
  <c r="I8" i="7" s="1"/>
  <c r="J20" i="5"/>
  <c r="J8" i="7" s="1"/>
  <c r="K20" i="5"/>
  <c r="K22" i="7" s="1"/>
  <c r="L20" i="5"/>
  <c r="L22" i="7" s="1"/>
  <c r="M20" i="5"/>
  <c r="M22" i="7" s="1"/>
  <c r="N20" i="5"/>
  <c r="N22" i="7" s="1"/>
  <c r="O20" i="5"/>
  <c r="O22" i="7" s="1"/>
  <c r="P20" i="5"/>
  <c r="P22" i="7" s="1"/>
  <c r="H18" i="5"/>
  <c r="D8" i="9" s="1"/>
  <c r="I18" i="5"/>
  <c r="I7" i="7" s="1"/>
  <c r="J18" i="5"/>
  <c r="J7" i="7" s="1"/>
  <c r="K18" i="5"/>
  <c r="K7" i="7" s="1"/>
  <c r="L18" i="5"/>
  <c r="L7" i="7" s="1"/>
  <c r="M18" i="5"/>
  <c r="M7" i="7" s="1"/>
  <c r="N18" i="5"/>
  <c r="N7" i="7" s="1"/>
  <c r="O18" i="5"/>
  <c r="O7" i="7" s="1"/>
  <c r="J12" i="5"/>
  <c r="K12" i="5"/>
  <c r="L12" i="5"/>
  <c r="N12" i="5"/>
  <c r="O12" i="5"/>
  <c r="P12" i="5"/>
  <c r="G11" i="5"/>
  <c r="H11" i="5"/>
  <c r="I11" i="5"/>
  <c r="I13" i="5" s="1"/>
  <c r="J11" i="5"/>
  <c r="J13" i="5" s="1"/>
  <c r="K11" i="5"/>
  <c r="H10" i="5"/>
  <c r="I10" i="5"/>
  <c r="J10" i="5"/>
  <c r="K10" i="5"/>
  <c r="K13" i="5" s="1"/>
  <c r="L10" i="5"/>
  <c r="M10" i="5"/>
  <c r="N10" i="5"/>
  <c r="O10" i="5"/>
  <c r="P10" i="5"/>
  <c r="G5" i="5"/>
  <c r="G12" i="5" s="1"/>
  <c r="H5" i="5"/>
  <c r="H12" i="5" s="1"/>
  <c r="H13" i="5" s="1"/>
  <c r="H15" i="5" s="1"/>
  <c r="I5" i="5"/>
  <c r="I12" i="5" s="1"/>
  <c r="J5" i="5"/>
  <c r="K5" i="5"/>
  <c r="L5" i="5"/>
  <c r="L11" i="5" s="1"/>
  <c r="M5" i="5"/>
  <c r="M11" i="5" s="1"/>
  <c r="N5" i="5"/>
  <c r="N13" i="6" s="1"/>
  <c r="O5" i="5"/>
  <c r="O11" i="5" s="1"/>
  <c r="P5" i="5"/>
  <c r="P18" i="5" s="1"/>
  <c r="G29" i="7"/>
  <c r="J9" i="7"/>
  <c r="F10" i="9" s="1"/>
  <c r="G34" i="6"/>
  <c r="H34" i="6"/>
  <c r="I9" i="7" s="1"/>
  <c r="E10" i="9" s="1"/>
  <c r="I34" i="6"/>
  <c r="J34" i="6"/>
  <c r="K34" i="6"/>
  <c r="O34" i="6"/>
  <c r="H12" i="6"/>
  <c r="I12" i="6"/>
  <c r="J12" i="6"/>
  <c r="K12" i="6"/>
  <c r="L12" i="6"/>
  <c r="M12" i="6"/>
  <c r="N12" i="6"/>
  <c r="O12" i="6"/>
  <c r="H13" i="6"/>
  <c r="G21" i="8" s="1"/>
  <c r="I13" i="6"/>
  <c r="H21" i="8" s="1"/>
  <c r="J13" i="6"/>
  <c r="I21" i="8" s="1"/>
  <c r="K13" i="6"/>
  <c r="J21" i="8" s="1"/>
  <c r="L13" i="6"/>
  <c r="I22" i="7"/>
  <c r="J22" i="7"/>
  <c r="G15" i="7"/>
  <c r="H15" i="7"/>
  <c r="I15" i="7"/>
  <c r="J15" i="7"/>
  <c r="K15" i="7"/>
  <c r="L15" i="7"/>
  <c r="M15" i="7"/>
  <c r="N15" i="7"/>
  <c r="O15" i="7"/>
  <c r="P15" i="7"/>
  <c r="K8" i="7"/>
  <c r="L8" i="7"/>
  <c r="M8" i="7"/>
  <c r="P8" i="7"/>
  <c r="H7" i="7"/>
  <c r="F26" i="7"/>
  <c r="E26" i="7"/>
  <c r="D26" i="7"/>
  <c r="C26" i="7"/>
  <c r="F18" i="7"/>
  <c r="F12" i="7"/>
  <c r="E12" i="7"/>
  <c r="D12" i="7"/>
  <c r="C12" i="7"/>
  <c r="E36" i="6"/>
  <c r="E15" i="6" s="1"/>
  <c r="D36" i="6"/>
  <c r="D38" i="6" s="1"/>
  <c r="C36" i="6"/>
  <c r="C38" i="6" s="1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F24" i="6"/>
  <c r="E24" i="6"/>
  <c r="D24" i="6"/>
  <c r="C24" i="6"/>
  <c r="F9" i="6"/>
  <c r="E9" i="6"/>
  <c r="D9" i="6"/>
  <c r="C9" i="6"/>
  <c r="K16" i="13"/>
  <c r="J16" i="13"/>
  <c r="I16" i="13"/>
  <c r="H16" i="13"/>
  <c r="G16" i="13"/>
  <c r="F16" i="13"/>
  <c r="E16" i="13"/>
  <c r="D16" i="13"/>
  <c r="C16" i="13"/>
  <c r="K15" i="13"/>
  <c r="J15" i="13"/>
  <c r="I15" i="13"/>
  <c r="H15" i="13"/>
  <c r="G15" i="13"/>
  <c r="F15" i="13"/>
  <c r="E15" i="13"/>
  <c r="D15" i="13"/>
  <c r="C15" i="13"/>
  <c r="K14" i="13"/>
  <c r="J14" i="13"/>
  <c r="I14" i="13"/>
  <c r="H14" i="13"/>
  <c r="G14" i="13"/>
  <c r="F14" i="13"/>
  <c r="E14" i="13"/>
  <c r="D14" i="13"/>
  <c r="C14" i="13"/>
  <c r="K13" i="13"/>
  <c r="J13" i="13"/>
  <c r="I13" i="13"/>
  <c r="H13" i="13"/>
  <c r="G13" i="13"/>
  <c r="F13" i="13"/>
  <c r="E13" i="13"/>
  <c r="D13" i="13"/>
  <c r="K10" i="13"/>
  <c r="J10" i="13"/>
  <c r="I10" i="13"/>
  <c r="H10" i="13"/>
  <c r="G10" i="13"/>
  <c r="F10" i="13"/>
  <c r="E10" i="13"/>
  <c r="C8" i="11"/>
  <c r="C20" i="10"/>
  <c r="C19" i="10"/>
  <c r="C18" i="10"/>
  <c r="I12" i="10"/>
  <c r="H12" i="10"/>
  <c r="G12" i="10"/>
  <c r="I11" i="10"/>
  <c r="H11" i="10"/>
  <c r="G11" i="10"/>
  <c r="F13" i="5"/>
  <c r="F15" i="5" s="1"/>
  <c r="E13" i="5"/>
  <c r="E15" i="5" s="1"/>
  <c r="D13" i="5"/>
  <c r="D15" i="5" s="1"/>
  <c r="C13" i="5"/>
  <c r="C15" i="5" s="1"/>
  <c r="N7" i="5"/>
  <c r="L7" i="5"/>
  <c r="H7" i="5"/>
  <c r="F7" i="5"/>
  <c r="E7" i="5"/>
  <c r="D7" i="5"/>
  <c r="C7" i="5"/>
  <c r="D37" i="3"/>
  <c r="D34" i="3"/>
  <c r="D40" i="3" s="1"/>
  <c r="C19" i="9" s="1"/>
  <c r="M10" i="8" l="1"/>
  <c r="M11" i="8"/>
  <c r="C10" i="8"/>
  <c r="C11" i="8"/>
  <c r="B10" i="8"/>
  <c r="B11" i="8"/>
  <c r="N11" i="8"/>
  <c r="N10" i="8"/>
  <c r="L11" i="8"/>
  <c r="L10" i="8"/>
  <c r="K11" i="8"/>
  <c r="K10" i="8"/>
  <c r="E10" i="8"/>
  <c r="E11" i="8"/>
  <c r="O11" i="8"/>
  <c r="O10" i="8"/>
  <c r="C20" i="8"/>
  <c r="F20" i="8"/>
  <c r="E20" i="8"/>
  <c r="D20" i="8"/>
  <c r="B20" i="8"/>
  <c r="I20" i="8"/>
  <c r="E19" i="5"/>
  <c r="E16" i="5"/>
  <c r="F23" i="3"/>
  <c r="E16" i="6"/>
  <c r="E18" i="6" s="1"/>
  <c r="D19" i="5"/>
  <c r="D16" i="5"/>
  <c r="C16" i="5"/>
  <c r="C19" i="5"/>
  <c r="P7" i="7"/>
  <c r="L8" i="9"/>
  <c r="F19" i="5"/>
  <c r="F16" i="5"/>
  <c r="J8" i="9"/>
  <c r="K8" i="9"/>
  <c r="I8" i="9"/>
  <c r="G8" i="9"/>
  <c r="H22" i="7"/>
  <c r="E8" i="9"/>
  <c r="L13" i="5"/>
  <c r="H8" i="9"/>
  <c r="F8" i="9"/>
  <c r="G8" i="7"/>
  <c r="M13" i="6"/>
  <c r="G12" i="6"/>
  <c r="M12" i="5"/>
  <c r="G18" i="5"/>
  <c r="P34" i="6"/>
  <c r="G10" i="5"/>
  <c r="G13" i="5" s="1"/>
  <c r="M34" i="6"/>
  <c r="M9" i="7" s="1"/>
  <c r="I10" i="9" s="1"/>
  <c r="G6" i="5"/>
  <c r="G7" i="5" s="1"/>
  <c r="G15" i="5" s="1"/>
  <c r="B20" i="10"/>
  <c r="D20" i="10" s="1"/>
  <c r="E20" i="10" s="1"/>
  <c r="B7" i="11" s="1"/>
  <c r="D7" i="11" s="1"/>
  <c r="K9" i="7"/>
  <c r="G10" i="9" s="1"/>
  <c r="L34" i="6"/>
  <c r="N11" i="5"/>
  <c r="D15" i="6"/>
  <c r="N34" i="6"/>
  <c r="G13" i="6"/>
  <c r="C15" i="6"/>
  <c r="L9" i="7"/>
  <c r="H10" i="9" s="1"/>
  <c r="P11" i="5"/>
  <c r="P13" i="5" s="1"/>
  <c r="P15" i="5" s="1"/>
  <c r="P19" i="5" s="1"/>
  <c r="P12" i="6"/>
  <c r="D11" i="8"/>
  <c r="G14" i="9"/>
  <c r="H14" i="9"/>
  <c r="C14" i="9"/>
  <c r="I14" i="9"/>
  <c r="J14" i="9"/>
  <c r="K14" i="9"/>
  <c r="L14" i="9"/>
  <c r="D14" i="9"/>
  <c r="E14" i="9"/>
  <c r="F14" i="9"/>
  <c r="E38" i="6"/>
  <c r="L15" i="5"/>
  <c r="P7" i="5"/>
  <c r="O7" i="5"/>
  <c r="I15" i="5"/>
  <c r="I16" i="5" s="1"/>
  <c r="J15" i="5"/>
  <c r="K15" i="5"/>
  <c r="K19" i="5" s="1"/>
  <c r="O8" i="7"/>
  <c r="N8" i="7"/>
  <c r="H19" i="5"/>
  <c r="H16" i="5"/>
  <c r="O13" i="5"/>
  <c r="N13" i="5"/>
  <c r="N15" i="5" s="1"/>
  <c r="N19" i="5" s="1"/>
  <c r="M13" i="5"/>
  <c r="M15" i="5" s="1"/>
  <c r="L19" i="5"/>
  <c r="L16" i="5"/>
  <c r="M19" i="5"/>
  <c r="M16" i="5"/>
  <c r="J16" i="5"/>
  <c r="J19" i="5"/>
  <c r="P13" i="6"/>
  <c r="O13" i="6"/>
  <c r="O9" i="7" s="1"/>
  <c r="K10" i="9" s="1"/>
  <c r="B19" i="10" l="1"/>
  <c r="D19" i="10" s="1"/>
  <c r="E19" i="10" s="1"/>
  <c r="B6" i="11" s="1"/>
  <c r="D6" i="11" s="1"/>
  <c r="G16" i="5"/>
  <c r="G19" i="5"/>
  <c r="K21" i="5"/>
  <c r="G5" i="9"/>
  <c r="P21" i="5"/>
  <c r="P23" i="5" s="1"/>
  <c r="L5" i="9"/>
  <c r="J21" i="5"/>
  <c r="F5" i="9"/>
  <c r="M21" i="5"/>
  <c r="M23" i="5" s="1"/>
  <c r="M10" i="7" s="1"/>
  <c r="I5" i="9"/>
  <c r="N21" i="5"/>
  <c r="N23" i="5" s="1"/>
  <c r="N10" i="7" s="1"/>
  <c r="J5" i="9"/>
  <c r="N9" i="7"/>
  <c r="J10" i="9" s="1"/>
  <c r="L21" i="5"/>
  <c r="H5" i="9"/>
  <c r="G7" i="6"/>
  <c r="C8" i="9"/>
  <c r="G7" i="7"/>
  <c r="E28" i="8"/>
  <c r="F21" i="5"/>
  <c r="I19" i="5"/>
  <c r="C16" i="6"/>
  <c r="C18" i="6" s="1"/>
  <c r="D23" i="3"/>
  <c r="H21" i="5"/>
  <c r="H6" i="7" s="1"/>
  <c r="D5" i="9"/>
  <c r="G9" i="7"/>
  <c r="C10" i="9" s="1"/>
  <c r="F21" i="8"/>
  <c r="K16" i="5"/>
  <c r="B28" i="8"/>
  <c r="C21" i="5"/>
  <c r="D16" i="6"/>
  <c r="D18" i="6" s="1"/>
  <c r="D30" i="8" s="1"/>
  <c r="E23" i="3"/>
  <c r="D21" i="5"/>
  <c r="C28" i="8"/>
  <c r="H9" i="7"/>
  <c r="D10" i="9" s="1"/>
  <c r="E21" i="5"/>
  <c r="D28" i="8"/>
  <c r="K22" i="5"/>
  <c r="O15" i="5"/>
  <c r="O16" i="5"/>
  <c r="O19" i="5"/>
  <c r="P16" i="5"/>
  <c r="N16" i="5"/>
  <c r="P10" i="7"/>
  <c r="P22" i="5"/>
  <c r="P24" i="5"/>
  <c r="P6" i="7"/>
  <c r="P9" i="7"/>
  <c r="L10" i="9" s="1"/>
  <c r="L22" i="5" l="1"/>
  <c r="L23" i="5"/>
  <c r="L10" i="7" s="1"/>
  <c r="N24" i="5"/>
  <c r="J6" i="9"/>
  <c r="J7" i="9"/>
  <c r="J12" i="9" s="1"/>
  <c r="J15" i="9" s="1"/>
  <c r="L6" i="9"/>
  <c r="L7" i="9"/>
  <c r="L12" i="9" s="1"/>
  <c r="P23" i="7"/>
  <c r="P26" i="5"/>
  <c r="P27" i="5" s="1"/>
  <c r="P30" i="5" s="1"/>
  <c r="O21" i="5"/>
  <c r="K5" i="9"/>
  <c r="F6" i="9"/>
  <c r="F7" i="9" s="1"/>
  <c r="F12" i="9" s="1"/>
  <c r="F15" i="9" s="1"/>
  <c r="N22" i="5"/>
  <c r="B30" i="8"/>
  <c r="C30" i="8"/>
  <c r="K6" i="7"/>
  <c r="K23" i="5"/>
  <c r="K10" i="7" s="1"/>
  <c r="K12" i="7" s="1"/>
  <c r="M6" i="7"/>
  <c r="M12" i="7" s="1"/>
  <c r="G21" i="5"/>
  <c r="C5" i="9"/>
  <c r="L6" i="7"/>
  <c r="I6" i="9"/>
  <c r="I7" i="9"/>
  <c r="I12" i="9" s="1"/>
  <c r="I15" i="9" s="1"/>
  <c r="D6" i="9"/>
  <c r="D7" i="9"/>
  <c r="D12" i="9" s="1"/>
  <c r="D15" i="9" s="1"/>
  <c r="H22" i="5"/>
  <c r="H23" i="5"/>
  <c r="H10" i="7" s="1"/>
  <c r="H12" i="7" s="1"/>
  <c r="J23" i="5"/>
  <c r="J10" i="7" s="1"/>
  <c r="J6" i="7"/>
  <c r="J12" i="7" s="1"/>
  <c r="J22" i="5"/>
  <c r="I21" i="5"/>
  <c r="E5" i="9"/>
  <c r="N6" i="7"/>
  <c r="F22" i="5"/>
  <c r="F24" i="5"/>
  <c r="G6" i="9"/>
  <c r="G7" i="9" s="1"/>
  <c r="G12" i="9" s="1"/>
  <c r="G15" i="9" s="1"/>
  <c r="M22" i="5"/>
  <c r="H7" i="6"/>
  <c r="G9" i="6"/>
  <c r="E22" i="5"/>
  <c r="E24" i="5"/>
  <c r="D22" i="5"/>
  <c r="D24" i="5"/>
  <c r="C24" i="5"/>
  <c r="C22" i="5"/>
  <c r="H6" i="9"/>
  <c r="H7" i="9"/>
  <c r="H12" i="9" s="1"/>
  <c r="H15" i="9" s="1"/>
  <c r="L24" i="5"/>
  <c r="K24" i="5"/>
  <c r="M24" i="5"/>
  <c r="L25" i="5"/>
  <c r="P12" i="7"/>
  <c r="P25" i="5"/>
  <c r="N12" i="7"/>
  <c r="O22" i="5" l="1"/>
  <c r="O23" i="5"/>
  <c r="O10" i="7" s="1"/>
  <c r="K25" i="5"/>
  <c r="K26" i="5"/>
  <c r="K27" i="5" s="1"/>
  <c r="K30" i="5" s="1"/>
  <c r="K23" i="7"/>
  <c r="M25" i="5"/>
  <c r="M26" i="5"/>
  <c r="M27" i="5" s="1"/>
  <c r="M30" i="5" s="1"/>
  <c r="M23" i="7"/>
  <c r="C29" i="8"/>
  <c r="C27" i="8"/>
  <c r="D27" i="5"/>
  <c r="D30" i="5" s="1"/>
  <c r="D25" i="5"/>
  <c r="D29" i="8"/>
  <c r="E27" i="5"/>
  <c r="E30" i="5" s="1"/>
  <c r="E25" i="5"/>
  <c r="D27" i="8"/>
  <c r="C22" i="9"/>
  <c r="C23" i="9" s="1"/>
  <c r="L15" i="9"/>
  <c r="K6" i="9"/>
  <c r="K7" i="9"/>
  <c r="K12" i="9" s="1"/>
  <c r="K15" i="9" s="1"/>
  <c r="I7" i="6"/>
  <c r="H9" i="6"/>
  <c r="H24" i="5"/>
  <c r="J24" i="5"/>
  <c r="L26" i="5"/>
  <c r="L27" i="5" s="1"/>
  <c r="L30" i="5" s="1"/>
  <c r="L23" i="7"/>
  <c r="G6" i="7"/>
  <c r="G23" i="5"/>
  <c r="G10" i="7" s="1"/>
  <c r="G22" i="5"/>
  <c r="G24" i="5"/>
  <c r="C27" i="5"/>
  <c r="C30" i="5" s="1"/>
  <c r="B29" i="8"/>
  <c r="C25" i="5"/>
  <c r="B27" i="8"/>
  <c r="O6" i="7"/>
  <c r="C6" i="9"/>
  <c r="C7" i="9" s="1"/>
  <c r="C12" i="9" s="1"/>
  <c r="C15" i="9" s="1"/>
  <c r="C21" i="9" s="1"/>
  <c r="C24" i="9" s="1"/>
  <c r="C26" i="9" s="1"/>
  <c r="C28" i="9" s="1"/>
  <c r="F27" i="5"/>
  <c r="F30" i="5" s="1"/>
  <c r="F25" i="5"/>
  <c r="E27" i="8"/>
  <c r="N23" i="7"/>
  <c r="N26" i="5"/>
  <c r="N27" i="5" s="1"/>
  <c r="N30" i="5" s="1"/>
  <c r="N25" i="5"/>
  <c r="L12" i="7"/>
  <c r="O24" i="5"/>
  <c r="O25" i="5" s="1"/>
  <c r="E7" i="9"/>
  <c r="E12" i="9" s="1"/>
  <c r="E15" i="9" s="1"/>
  <c r="E6" i="9"/>
  <c r="I6" i="7"/>
  <c r="I23" i="5"/>
  <c r="I22" i="5"/>
  <c r="O12" i="7"/>
  <c r="B4" i="11" l="1"/>
  <c r="D4" i="11" s="1"/>
  <c r="C30" i="9"/>
  <c r="B18" i="10"/>
  <c r="D18" i="10" s="1"/>
  <c r="E18" i="10" s="1"/>
  <c r="G23" i="7"/>
  <c r="G23" i="6" s="1"/>
  <c r="G26" i="5"/>
  <c r="G25" i="5"/>
  <c r="G27" i="5"/>
  <c r="G30" i="5" s="1"/>
  <c r="O23" i="7"/>
  <c r="O26" i="5"/>
  <c r="O27" i="5" s="1"/>
  <c r="O30" i="5" s="1"/>
  <c r="G12" i="7"/>
  <c r="H26" i="5"/>
  <c r="H27" i="5" s="1"/>
  <c r="H30" i="5" s="1"/>
  <c r="H23" i="7"/>
  <c r="H25" i="5"/>
  <c r="J7" i="6"/>
  <c r="I9" i="6"/>
  <c r="I10" i="7"/>
  <c r="I12" i="7" s="1"/>
  <c r="I24" i="5"/>
  <c r="J26" i="5"/>
  <c r="J23" i="7"/>
  <c r="J25" i="5"/>
  <c r="J27" i="5"/>
  <c r="J30" i="5" s="1"/>
  <c r="G24" i="6" l="1"/>
  <c r="H23" i="6"/>
  <c r="E22" i="10"/>
  <c r="B5" i="11"/>
  <c r="D5" i="11" s="1"/>
  <c r="I26" i="5"/>
  <c r="I23" i="7"/>
  <c r="I27" i="5"/>
  <c r="I30" i="5" s="1"/>
  <c r="I25" i="5"/>
  <c r="J9" i="6"/>
  <c r="K7" i="6"/>
  <c r="D10" i="11"/>
  <c r="D13" i="11" l="1"/>
  <c r="C19" i="11"/>
  <c r="L7" i="6"/>
  <c r="K9" i="6"/>
  <c r="H24" i="6"/>
  <c r="I23" i="6"/>
  <c r="F11" i="8"/>
  <c r="G27" i="8"/>
  <c r="F27" i="8"/>
  <c r="J23" i="6" l="1"/>
  <c r="I24" i="6"/>
  <c r="G11" i="8"/>
  <c r="H27" i="8"/>
  <c r="M7" i="6"/>
  <c r="L9" i="6"/>
  <c r="D19" i="11"/>
  <c r="C20" i="11"/>
  <c r="D20" i="11" s="1"/>
  <c r="C18" i="11"/>
  <c r="D18" i="11" s="1"/>
  <c r="M9" i="6" l="1"/>
  <c r="N7" i="6"/>
  <c r="H11" i="8"/>
  <c r="K23" i="6"/>
  <c r="J24" i="6"/>
  <c r="I27" i="8" s="1"/>
  <c r="I11" i="8" l="1"/>
  <c r="K24" i="6"/>
  <c r="J11" i="8" s="1"/>
  <c r="L23" i="6"/>
  <c r="O7" i="6"/>
  <c r="N9" i="6"/>
  <c r="O9" i="6" l="1"/>
  <c r="P7" i="6"/>
  <c r="P9" i="6" s="1"/>
  <c r="M23" i="6"/>
  <c r="L24" i="6"/>
  <c r="J27" i="8"/>
  <c r="L21" i="7"/>
  <c r="L26" i="7" s="1"/>
  <c r="I21" i="7"/>
  <c r="I26" i="7" s="1"/>
  <c r="M21" i="7"/>
  <c r="M26" i="7" s="1"/>
  <c r="J21" i="7"/>
  <c r="J26" i="7" s="1"/>
  <c r="N21" i="7"/>
  <c r="N26" i="7"/>
  <c r="H21" i="7"/>
  <c r="H26" i="7"/>
  <c r="P21" i="7"/>
  <c r="P26" i="7"/>
  <c r="O21" i="7"/>
  <c r="O26" i="7"/>
  <c r="G21" i="7"/>
  <c r="G26" i="7"/>
  <c r="K21" i="7"/>
  <c r="K26" i="7"/>
  <c r="N23" i="6" l="1"/>
  <c r="M24" i="6"/>
  <c r="O23" i="6" l="1"/>
  <c r="N24" i="6"/>
  <c r="O24" i="6" l="1"/>
  <c r="P23" i="6"/>
  <c r="P24" i="6" s="1"/>
  <c r="C16" i="7" l="1"/>
  <c r="C18" i="7"/>
  <c r="D16" i="7"/>
  <c r="D18" i="7" s="1"/>
  <c r="E16" i="7"/>
  <c r="E18" i="7" s="1"/>
  <c r="F36" i="6"/>
  <c r="F15" i="6" s="1"/>
  <c r="F38" i="6"/>
  <c r="G23" i="3" l="1"/>
  <c r="F16" i="6"/>
  <c r="F18" i="6" s="1"/>
  <c r="E30" i="8"/>
  <c r="E29" i="8"/>
  <c r="G36" i="6"/>
  <c r="G38" i="6" s="1"/>
  <c r="G14" i="6"/>
  <c r="H29" i="7" s="1"/>
  <c r="G30" i="7" l="1"/>
  <c r="G28" i="7" s="1"/>
  <c r="G16" i="7" s="1"/>
  <c r="G18" i="7" s="1"/>
  <c r="F9" i="8"/>
  <c r="F10" i="8" s="1"/>
  <c r="G16" i="6"/>
  <c r="G18" i="6" s="1"/>
  <c r="F28" i="8"/>
  <c r="F29" i="8" l="1"/>
  <c r="F30" i="8"/>
  <c r="H36" i="6"/>
  <c r="H38" i="6" s="1"/>
  <c r="H14" i="6"/>
  <c r="G9" i="8" s="1"/>
  <c r="G10" i="8" s="1"/>
  <c r="I29" i="7" l="1"/>
  <c r="H30" i="7"/>
  <c r="H28" i="7" s="1"/>
  <c r="H16" i="7" s="1"/>
  <c r="H18" i="7" s="1"/>
  <c r="G28" i="8"/>
  <c r="H16" i="6"/>
  <c r="H18" i="6" s="1"/>
  <c r="G30" i="8" s="1"/>
  <c r="I36" i="6"/>
  <c r="I38" i="6" s="1"/>
  <c r="I14" i="6"/>
  <c r="H9" i="8" s="1"/>
  <c r="H10" i="8" s="1"/>
  <c r="J29" i="7" l="1"/>
  <c r="I16" i="6"/>
  <c r="I18" i="6" s="1"/>
  <c r="H29" i="8" s="1"/>
  <c r="G29" i="8"/>
  <c r="H28" i="8"/>
  <c r="H30" i="8"/>
  <c r="I30" i="7"/>
  <c r="I28" i="7" s="1"/>
  <c r="I16" i="7" s="1"/>
  <c r="I18" i="7" s="1"/>
  <c r="J36" i="6"/>
  <c r="J38" i="6" s="1"/>
  <c r="J14" i="6"/>
  <c r="I9" i="8" s="1"/>
  <c r="I10" i="8" s="1"/>
  <c r="J16" i="6" l="1"/>
  <c r="J18" i="6" s="1"/>
  <c r="I29" i="8" s="1"/>
  <c r="I28" i="8"/>
  <c r="K29" i="7"/>
  <c r="J30" i="7"/>
  <c r="J28" i="7" s="1"/>
  <c r="J16" i="7" s="1"/>
  <c r="J18" i="7" s="1"/>
  <c r="I30" i="8"/>
  <c r="K36" i="6"/>
  <c r="K38" i="6" s="1"/>
  <c r="K14" i="6"/>
  <c r="K16" i="6" s="1"/>
  <c r="K18" i="6" s="1"/>
  <c r="K30" i="7" l="1"/>
  <c r="K28" i="7" s="1"/>
  <c r="K16" i="7" s="1"/>
  <c r="K18" i="7" s="1"/>
  <c r="L29" i="7"/>
  <c r="J28" i="8"/>
  <c r="J30" i="8"/>
  <c r="J29" i="8"/>
  <c r="J9" i="8"/>
  <c r="J10" i="8" s="1"/>
  <c r="L36" i="6"/>
  <c r="L38" i="6" s="1"/>
  <c r="L14" i="6"/>
  <c r="L16" i="6" s="1"/>
  <c r="L18" i="6" s="1"/>
  <c r="M36" i="6"/>
  <c r="M38" i="6" s="1"/>
  <c r="M14" i="6"/>
  <c r="M30" i="7" s="1"/>
  <c r="N36" i="6"/>
  <c r="N38" i="6" s="1"/>
  <c r="N14" i="6"/>
  <c r="N30" i="7" s="1"/>
  <c r="O36" i="6"/>
  <c r="O38" i="6" s="1"/>
  <c r="O14" i="6"/>
  <c r="O16" i="6" s="1"/>
  <c r="O18" i="6" s="1"/>
  <c r="P36" i="6"/>
  <c r="P38" i="6" s="1"/>
  <c r="P14" i="6"/>
  <c r="P30" i="7" s="1"/>
  <c r="P16" i="6" l="1"/>
  <c r="P18" i="6" s="1"/>
  <c r="N29" i="7"/>
  <c r="N28" i="7" s="1"/>
  <c r="N16" i="7" s="1"/>
  <c r="N18" i="7" s="1"/>
  <c r="M16" i="6"/>
  <c r="M18" i="6" s="1"/>
  <c r="P29" i="7"/>
  <c r="M29" i="7"/>
  <c r="M28" i="7" s="1"/>
  <c r="M16" i="7" s="1"/>
  <c r="M18" i="7" s="1"/>
  <c r="O30" i="7"/>
  <c r="P28" i="7"/>
  <c r="P16" i="7" s="1"/>
  <c r="P18" i="7" s="1"/>
  <c r="O29" i="7"/>
  <c r="L30" i="7"/>
  <c r="L28" i="7" s="1"/>
  <c r="L16" i="7" s="1"/>
  <c r="L18" i="7" s="1"/>
  <c r="N16" i="6"/>
  <c r="N18" i="6" s="1"/>
  <c r="O28" i="7" l="1"/>
  <c r="O16" i="7" s="1"/>
  <c r="O1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J4" authorId="0" shapeId="0" xr:uid="{B94EFD2D-8BBB-4990-A671-2A70C77EF6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Genus Power 170% rev growth driven by smart metering order wins; verify against FY25 filings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C18" authorId="0" shapeId="0" xr:uid="{EB633C5E-D983-4545-B778-7AE6DBA6605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Bull case: ~30% premium to base case fair value, reflecting upside from mgmt over-delivery</t>
        </r>
      </text>
    </comment>
    <comment ref="C20" authorId="0" shapeId="0" xr:uid="{945BBB48-6046-4959-9CD2-168816CABAA2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Bear case: ~45% discount to base case, reflecting execution delays, margin compression</t>
        </r>
      </text>
    </comment>
  </commentList>
</comments>
</file>

<file path=xl/sharedStrings.xml><?xml version="1.0" encoding="utf-8"?>
<sst xmlns="http://schemas.openxmlformats.org/spreadsheetml/2006/main" count="512" uniqueCount="384">
  <si>
    <t>RMC SWITCHGEARS LIMITED</t>
  </si>
  <si>
    <t>Three-Statement Financial Model &amp; Valuation</t>
  </si>
  <si>
    <t>BSE: 540358 | CIN: L25111RJ1994PLC008698</t>
  </si>
  <si>
    <t>Jaipur, Rajasthan, India</t>
  </si>
  <si>
    <t>Model Specifications</t>
  </si>
  <si>
    <t>Historical Period: FY22 – FY25 (Actuals)</t>
  </si>
  <si>
    <t>Latest Available: 9M FY26 (Apr-Dec 2025)</t>
  </si>
  <si>
    <t>Projection Period: FY26E – FY35E (10 Years)</t>
  </si>
  <si>
    <t>Scenarios: Bull / Base / Bear</t>
  </si>
  <si>
    <t>Valuation: DCF (FCFF) + Comparable Companies → Blended Fair Value</t>
  </si>
  <si>
    <t>Key Segments: Electrical Products | Electrical EPC | Solar EPC | Solar Products (upcoming)</t>
  </si>
  <si>
    <t>Disclaimer: This model is for analytical purposes only. Not investment advice.</t>
  </si>
  <si>
    <t>RMC SWITCHGEARS LTD — KEY ASSUMPTIONS</t>
  </si>
  <si>
    <t>All figures in ₹ Crores unless stated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</si>
  <si>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</si>
  <si>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</si>
  <si>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</si>
  <si>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</si>
  <si>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</si>
  <si>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</si>
  <si>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</si>
  <si>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</si>
  <si>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</si>
  <si>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FY31E</t>
  </si>
  <si>
    <t>FY32E</t>
  </si>
  <si>
    <t>FY33E</t>
  </si>
  <si>
    <t>FY34E</t>
  </si>
  <si>
    <t>FY35E</t>
  </si>
  <si>
    <t>Rationale</t>
  </si>
  <si>
    <t>REVENUE ASSUMPTIONS</t>
  </si>
  <si>
    <t>Revenue from Operations</t>
  </si>
  <si>
    <t>Base case; mgmt guides ₹2300Cr by FY28, ₹5000Cr by FY30</t>
  </si>
  <si>
    <t xml:space="preserve">  YoY Revenue Growth (%)</t>
  </si>
  <si>
    <t>Growth moderates as base scales; still above industry avg</t>
  </si>
  <si>
    <t>MARGIN ASSUMPTIONS</t>
  </si>
  <si>
    <t>COGS (% of Revenue)</t>
  </si>
  <si>
    <t>EPC mix increases COGS; solar mfg offsets modestly over time</t>
  </si>
  <si>
    <t xml:space="preserve">  Implied Gross Margin (%)</t>
  </si>
  <si>
    <t>Gradual recovery with solar backward integration</t>
  </si>
  <si>
    <t>Employee Cost (% of Revenue)</t>
  </si>
  <si>
    <t>Operating leverage as revenue scales faster than headcount</t>
  </si>
  <si>
    <t>Other Expenses (% of Revenue)</t>
  </si>
  <si>
    <t>Scaled operations reduce % but absolute value grows</t>
  </si>
  <si>
    <t xml:space="preserve">  Implied EBITDA Margin (%)</t>
  </si>
  <si>
    <t>Converging to 20-23% as product mix matures &amp; integration</t>
  </si>
  <si>
    <t>Depreciation (% of Revenue)</t>
  </si>
  <si>
    <t>Rises with solar plant capex, then normalises</t>
  </si>
  <si>
    <t>Avg Interest Rate on Debt (%)</t>
  </si>
  <si>
    <t>Declining as credit rating upgrades (IVR BBB/Stable)</t>
  </si>
  <si>
    <t>Effective Tax Rate (%)</t>
  </si>
  <si>
    <t>25.17% statutory rate for Indian cos (new regime)</t>
  </si>
  <si>
    <t>WORKING CAPITAL ASSUMPTIONS</t>
  </si>
  <si>
    <t>Receivable Days</t>
  </si>
  <si>
    <t>Improving with smart metering &amp; cash collection cycle of ~60d</t>
  </si>
  <si>
    <t>Inventory Days</t>
  </si>
  <si>
    <t>EPC model keeps inventory lean; solar plant adds slightly</t>
  </si>
  <si>
    <t>Payable Days</t>
  </si>
  <si>
    <t>Vendor relationships strengthen with scale</t>
  </si>
  <si>
    <t>CAPEX &amp; BALANCE SHEET</t>
  </si>
  <si>
    <t>Capex (₹ Cr)</t>
  </si>
  <si>
    <t>FY26-27 elevated for 1GW solar plant (₹100Cr); normalises after</t>
  </si>
  <si>
    <t xml:space="preserve">  Capex as % of Revenue</t>
  </si>
  <si>
    <t>Asset-light EPC model post solar plant commissioning</t>
  </si>
  <si>
    <t>WACC COMPONENTS (CAPM-DERIVED)</t>
  </si>
  <si>
    <t>Risk-Free Rate (10Y GOI Bond)</t>
  </si>
  <si>
    <t>India 10Y G-Sec yield ~7.2%</t>
  </si>
  <si>
    <t>Equity Risk Premium (India)</t>
  </si>
  <si>
    <t>Damodaran India ERP ~6.5%</t>
  </si>
  <si>
    <t>Beta (Levered) — est. for micro-cap</t>
  </si>
  <si>
    <t>No listed beta; est. using peer avg + size premium</t>
  </si>
  <si>
    <t>Size Premium (Micro-cap)</t>
  </si>
  <si>
    <t>Additional 3% for sub-₹500Cr market cap</t>
  </si>
  <si>
    <t>Cost of Equity = Rf + β×ERP + Size</t>
  </si>
  <si>
    <t>Pre-tax Cost of Debt</t>
  </si>
  <si>
    <t>Avg borrowing rate per financials</t>
  </si>
  <si>
    <t>Tax Rate</t>
  </si>
  <si>
    <t>25.17% new regime</t>
  </si>
  <si>
    <t>After-tax Cost of Debt</t>
  </si>
  <si>
    <t>WACC</t>
  </si>
  <si>
    <t>Terminal Growth Rate</t>
  </si>
  <si>
    <t>India nominal GDP growth ~5%</t>
  </si>
  <si>
    <t>SCENARIO ANALYSIS — REVENUE PATHS (₹ Cr)</t>
  </si>
  <si>
    <t>Bull Case Revenue</t>
  </si>
  <si>
    <t>Mgmt delivers ₹5000Cr by FY30 at ~90% hit rate</t>
  </si>
  <si>
    <t>Base Case Revenue</t>
  </si>
  <si>
    <t>15-20% haircut on mgmt guidance; primary scenario</t>
  </si>
  <si>
    <t>Bear Case Revenue</t>
  </si>
  <si>
    <t>Execution delays, solar plant slippage, margin compression</t>
  </si>
  <si>
    <t>RMC SWITCHGEARS LTD — INCOME STATEMENT (Consolidated, ₹ Cr)</t>
  </si>
  <si>
    <t>Other Income</t>
  </si>
  <si>
    <t>Total Income</t>
  </si>
  <si>
    <t>EXPENSES</t>
  </si>
  <si>
    <t>Cost of Materials / COGS</t>
  </si>
  <si>
    <t>Employee Benefit Expenses</t>
  </si>
  <si>
    <t>Other Expenses</t>
  </si>
  <si>
    <t>Total Expenses</t>
  </si>
  <si>
    <t>EBITDA</t>
  </si>
  <si>
    <t>Depreciation &amp; Amortisation</t>
  </si>
  <si>
    <t>EBIT</t>
  </si>
  <si>
    <t>Finance Costs</t>
  </si>
  <si>
    <t>Profit Before Tax (PBT)</t>
  </si>
  <si>
    <t xml:space="preserve">  PBT Margin (%)</t>
  </si>
  <si>
    <t>Tax Expense</t>
  </si>
  <si>
    <t>Profit After Tax (PAT)</t>
  </si>
  <si>
    <t xml:space="preserve">  PAT Margin (%)</t>
  </si>
  <si>
    <t>Minority Interest</t>
  </si>
  <si>
    <t>PAT attributable to shareholders</t>
  </si>
  <si>
    <t>Shares Outstanding (Cr)</t>
  </si>
  <si>
    <t>EPS (₹)</t>
  </si>
  <si>
    <t>RMC SWITCHGEARS LTD — DCF VALUATION (FCFF Method)</t>
  </si>
  <si>
    <t>Free Cash Flow Build-up</t>
  </si>
  <si>
    <t>(-) Tax on EBIT @ 25.17%</t>
  </si>
  <si>
    <t>NOPAT (EBIT × (1-t))</t>
  </si>
  <si>
    <t>(+) Depreciation &amp; Amortisation</t>
  </si>
  <si>
    <t>(-) Capital Expenditure</t>
  </si>
  <si>
    <t>(-) Change in Working Capital</t>
  </si>
  <si>
    <t>Free Cash Flow to Firm (FCFF)</t>
  </si>
  <si>
    <t>Discount Factor @ WACC</t>
  </si>
  <si>
    <t>PV of FCFF</t>
  </si>
  <si>
    <t>VALUATION SUMMARY</t>
  </si>
  <si>
    <t>Sum of PV of FCFFs (FY26E-FY35E)</t>
  </si>
  <si>
    <t>Terminal Value (Gordon Growth)</t>
  </si>
  <si>
    <t>PV of Terminal Value</t>
  </si>
  <si>
    <t>Enterprise Value</t>
  </si>
  <si>
    <t>(-) Net Debt (FY25)</t>
  </si>
  <si>
    <t>Equity Value</t>
  </si>
  <si>
    <t>Implied Share Price (₹)</t>
  </si>
  <si>
    <t>Current Market Price (₹)</t>
  </si>
  <si>
    <t>Upside / (Downside)</t>
  </si>
  <si>
    <t>RMC SWITCHGEARS — COMPARABLE COMPANY ANALYSIS</t>
  </si>
  <si>
    <t>Company</t>
  </si>
  <si>
    <t>Ticker</t>
  </si>
  <si>
    <t>Mkt Cap (₹Cr)</t>
  </si>
  <si>
    <t>Revenue (₹Cr)</t>
  </si>
  <si>
    <t>EBITDA (₹Cr)</t>
  </si>
  <si>
    <t>PAT (₹Cr)</t>
  </si>
  <si>
    <t>P/E (TTM)</t>
  </si>
  <si>
    <t>EV/EBITDA</t>
  </si>
  <si>
    <t>EV/Revenue</t>
  </si>
  <si>
    <t>Rev Growth (%)</t>
  </si>
  <si>
    <t>EBITDA Margin (%)</t>
  </si>
  <si>
    <t>Genus Power Infra</t>
  </si>
  <si>
    <t>GENUSPOWER</t>
  </si>
  <si>
    <t>HPL Electric &amp; Power</t>
  </si>
  <si>
    <t>HPL</t>
  </si>
  <si>
    <t>Salzer Electronics</t>
  </si>
  <si>
    <t>SALZERELE</t>
  </si>
  <si>
    <t>Schneider Electric Infra</t>
  </si>
  <si>
    <t>SCHNEIDER</t>
  </si>
  <si>
    <t>Techno Electric &amp; Engg</t>
  </si>
  <si>
    <t>TECHNOELE</t>
  </si>
  <si>
    <t>Peer Median</t>
  </si>
  <si>
    <t>Peer Mean</t>
  </si>
  <si>
    <t>Peer Range (excl. outliers)</t>
  </si>
  <si>
    <t>VALUATION IMPLIED BY COMPS FOR RMC</t>
  </si>
  <si>
    <t>Metric</t>
  </si>
  <si>
    <t>RMC FY26E Value</t>
  </si>
  <si>
    <t>Peer Median Multiple</t>
  </si>
  <si>
    <t>Implied EV/Equity (₹Cr)</t>
  </si>
  <si>
    <t>Implied Price/Share (₹)</t>
  </si>
  <si>
    <t>P/E (on FY26E PAT)</t>
  </si>
  <si>
    <t>EV/EBITDA (on FY26E EBITDA)</t>
  </si>
  <si>
    <t>EV/Revenue (on FY26E Revenue)</t>
  </si>
  <si>
    <t>Average Implied Price from Comps</t>
  </si>
  <si>
    <t>Note: Schneider trades at premium due to MNC parentage. Excluding Schneider, median P/E drops to ~22x.</t>
  </si>
  <si>
    <t>Sources: Screener.in, BSE filings, company press releases. Data as of Feb-Mar 2026.</t>
  </si>
  <si>
    <t>RMC SWITCHGEARS — BLENDED FAIR VALUE</t>
  </si>
  <si>
    <t>Methodology</t>
  </si>
  <si>
    <t>Implied Price (₹)</t>
  </si>
  <si>
    <t>Weight</t>
  </si>
  <si>
    <t>Weighted Price (₹)</t>
  </si>
  <si>
    <t>DCF Valuation (Base Case)</t>
  </si>
  <si>
    <t>Primary method; captures long-term intrinsic value</t>
  </si>
  <si>
    <t>Comparable Cos — P/E based</t>
  </si>
  <si>
    <t>Strong indicator for earnings-driven valuation</t>
  </si>
  <si>
    <t>Comparable Cos — EV/EBITDA based</t>
  </si>
  <si>
    <t>Operating profitability measure, capital-structure neutral</t>
  </si>
  <si>
    <t>Comparable Cos — EV/Revenue based</t>
  </si>
  <si>
    <t>Lower weight; revenue multiples less reliable for EPC</t>
  </si>
  <si>
    <t>Total Weight</t>
  </si>
  <si>
    <t>BLENDED FAIR VALUE PER SHARE</t>
  </si>
  <si>
    <t>Upside / (Downside) to Fair Value</t>
  </si>
  <si>
    <t>SCENARIO-WISE FAIR VALUE SUMMARY</t>
  </si>
  <si>
    <t>Scenario</t>
  </si>
  <si>
    <t>FY35E Revenue (₹Cr)</t>
  </si>
  <si>
    <t>Fair Value/Share (₹)</t>
  </si>
  <si>
    <t>Upside/(Downside)</t>
  </si>
  <si>
    <t>Bull Case</t>
  </si>
  <si>
    <t>Base Case</t>
  </si>
  <si>
    <t>Bear Case</t>
  </si>
  <si>
    <t>RMC SWITCHGEARS — MANAGEMENT GUIDANCE TRACKER</t>
  </si>
  <si>
    <t>Guidance / Statement</t>
  </si>
  <si>
    <t>Source / Period</t>
  </si>
  <si>
    <t>Target</t>
  </si>
  <si>
    <t>Actual / Status</t>
  </si>
  <si>
    <t>Verdict</t>
  </si>
  <si>
    <t>Confidence Score</t>
  </si>
  <si>
    <t>Notes</t>
  </si>
  <si>
    <t>Revenue to reach ₹125 Cr</t>
  </si>
  <si>
    <t>CRISIL Report FY23</t>
  </si>
  <si>
    <t>₹125 Cr by FY23</t>
  </si>
  <si>
    <t>₹125.3 Cr achieved</t>
  </si>
  <si>
    <t>✓ DELIVERED</t>
  </si>
  <si>
    <t>HIGH</t>
  </si>
  <si>
    <t>Hit target exactly; shows conservative guidance</t>
  </si>
  <si>
    <t>30-40% revenue growth in FY24</t>
  </si>
  <si>
    <t>CRISIL FY23 Assessment</t>
  </si>
  <si>
    <t>₹163-175 Cr</t>
  </si>
  <si>
    <t>₹172.6 Cr (38% growth)</t>
  </si>
  <si>
    <t>Mid-range delivery; consistent execution</t>
  </si>
  <si>
    <t>Order book ₹358 Cr as of Jun'23</t>
  </si>
  <si>
    <t>CRISIL FY23 Report</t>
  </si>
  <si>
    <t>Healthy order visibility</t>
  </si>
  <si>
    <t>Grew to ₹572 Cr by Dec'25</t>
  </si>
  <si>
    <t>✓ OVER-DELIVERED</t>
  </si>
  <si>
    <t>60% growth in order book over 2.5 years</t>
  </si>
  <si>
    <t>Revenue ₹3,000 Cr by FY30</t>
  </si>
  <si>
    <t>Earlier investor meets</t>
  </si>
  <si>
    <t>₹3,000 Cr target</t>
  </si>
  <si>
    <t>UPGRADED to ₹5,000 Cr</t>
  </si>
  <si>
    <t>⬆ UPGRADED</t>
  </si>
  <si>
    <t>MEDIUM</t>
  </si>
  <si>
    <t>Ambitious upgrade after strong FY25 showing</t>
  </si>
  <si>
    <t>&gt;30% CAGR over 3-5 years</t>
  </si>
  <si>
    <t>Q1 FY26 Concall / Inv Day</t>
  </si>
  <si>
    <t>Sustained 30%+ CAGR</t>
  </si>
  <si>
    <t>H1 FY26: 112% YoY rev growth</t>
  </si>
  <si>
    <t>✓✓ OVER-DELIVERING</t>
  </si>
  <si>
    <t>Exceeding guidance significantly in near-term</t>
  </si>
  <si>
    <t>₹2,300 Cr revenue by FY28</t>
  </si>
  <si>
    <t>FY25 Mgmt Guidance</t>
  </si>
  <si>
    <t>₹2,300 Cr</t>
  </si>
  <si>
    <t>In progress; FY26E tracking ₹475Cr</t>
  </si>
  <si>
    <t>⏳ IN PROGRESS</t>
  </si>
  <si>
    <t>Needs ~70% CAGR from FY26; aggressive but order book supports</t>
  </si>
  <si>
    <t>₹5,000 Cr turnover by 2030</t>
  </si>
  <si>
    <t>Q1 FY26 Concall / Vision</t>
  </si>
  <si>
    <t>₹5,000 Cr</t>
  </si>
  <si>
    <t>In progress</t>
  </si>
  <si>
    <t>LOW-MED</t>
  </si>
  <si>
    <t>Very ambitious; 10x from FY25 in 5 yrs; execution is key</t>
  </si>
  <si>
    <t>EBITDA margins 18-20%</t>
  </si>
  <si>
    <t>CRISIL upside trigger</t>
  </si>
  <si>
    <t>18-20% EBITDA margin</t>
  </si>
  <si>
    <t>FY25: 16.6%; H1 FY26: 15.3%</t>
  </si>
  <si>
    <t>⚠ BELOW TARGET</t>
  </si>
  <si>
    <t>EPC transition compressed margins; mgmt says strategic</t>
  </si>
  <si>
    <t>Capacity utilisation &gt;90%</t>
  </si>
  <si>
    <t>H1 FY26 PR</t>
  </si>
  <si>
    <t>Beyond 90% utilisation</t>
  </si>
  <si>
    <t>In progress for H2 FY26</t>
  </si>
  <si>
    <t>Being pushed as a key priority for FY27</t>
  </si>
  <si>
    <t>1 GW Solar Module Plant</t>
  </si>
  <si>
    <t>FY24-25 announcements</t>
  </si>
  <si>
    <t>Operational by Q4 FY25</t>
  </si>
  <si>
    <t>Delayed; phases adjusted</t>
  </si>
  <si>
    <t>⚠ DELAYED</t>
  </si>
  <si>
    <t>SIDBI funding secured; design refinements cited</t>
  </si>
  <si>
    <t>Cash conversion cycle ~60 days</t>
  </si>
  <si>
    <t>H1 FY26 CEO statement</t>
  </si>
  <si>
    <t>60 days CCC</t>
  </si>
  <si>
    <t>Achievable per mgmt</t>
  </si>
  <si>
    <t>✓ TRACKING</t>
  </si>
  <si>
    <t>Good WC discipline despite rapid scaling</t>
  </si>
  <si>
    <t>BSE/NSE Mainboard Migration</t>
  </si>
  <si>
    <t>Dec 2025 - Feb 2026</t>
  </si>
  <si>
    <t>BSE+NSE main board</t>
  </si>
  <si>
    <t>BSE approved; NSE applied Feb'26</t>
  </si>
  <si>
    <t>✓ IN PROGRESS</t>
  </si>
  <si>
    <t>On track; enhances liquidity &amp; institutional interest</t>
  </si>
  <si>
    <t>Forbes Asia Best Under Billion 2025</t>
  </si>
  <si>
    <t>H1 FY26 press release</t>
  </si>
  <si>
    <t>Recognition</t>
  </si>
  <si>
    <t>Achieved</t>
  </si>
  <si>
    <t>✓ ACHIEVED</t>
  </si>
  <si>
    <t>Validates governance &amp; growth credentials</t>
  </si>
  <si>
    <t>OVERALL ASSESSMENT</t>
  </si>
  <si>
    <t>Management has a MODERATE-STRONG track record. Delivered on near-term targets consistently. Ambitious long-term vision (₹5000Cr by FY30) needs significant execution. Solar plant delay is a concern. Revenue delivery on track but margins under pressure from EPC transition.</t>
  </si>
  <si>
    <t>RMC SWITCHGEARS — SENSITIVITY ANALYSIS</t>
  </si>
  <si>
    <t>TABLE 1: Implied Share Price — WACC vs Terminal Growth Rate</t>
  </si>
  <si>
    <t>WACC ↓ / TGR →</t>
  </si>
  <si>
    <t>TABLE 2: Implied Share Price — FY26-35 Revenue CAGR vs Terminal EBITDA Margin</t>
  </si>
  <si>
    <t>Rev CAGR ↓ / Margin →</t>
  </si>
  <si>
    <t>RMC SWITCHGEARS — SEGMENT-WISE REVENUE ANALYSIS (₹ Cr)</t>
  </si>
  <si>
    <t>Segment</t>
  </si>
  <si>
    <t>Electrical Products (Enclosures, Panels)</t>
  </si>
  <si>
    <t>Electrical EPC (T&amp;D, Substations)</t>
  </si>
  <si>
    <t>Solar EPC</t>
  </si>
  <si>
    <t>Solar Products (Manufacturing)</t>
  </si>
  <si>
    <t>TOTAL REVENUE</t>
  </si>
  <si>
    <t>REVENUE MIX (%)</t>
  </si>
  <si>
    <t>Electrical Products %</t>
  </si>
  <si>
    <t>Electrical EPC %</t>
  </si>
  <si>
    <t>Solar EPC %</t>
  </si>
  <si>
    <t>Solar Products %</t>
  </si>
  <si>
    <t>SEGMENT NOTES &amp; OUTLOOK</t>
  </si>
  <si>
    <t>Electrical Products:</t>
  </si>
  <si>
    <t>Legacy core. Smart meter enclosures, distribution boxes. Benefits from RDSS rollout of 250M smart meters nationally. Stable 15-20% growth.</t>
  </si>
  <si>
    <t>Electrical EPC:</t>
  </si>
  <si>
    <t>Underground cabling, substation construction, 11kV feeder segregation. ₹200.9 Cr LOI from Jaipur Discom in Jan'26. RDSS a major driver.</t>
  </si>
  <si>
    <t>Solar EPC:</t>
  </si>
  <si>
    <t>Largest growth driver. MAHAGENCO ₹154Cr project (8.8MWac commissioned). MSEDCL ₹61Cr project. ₹9 trillion T&amp;D investment tailwind.</t>
  </si>
  <si>
    <t>Solar Products:</t>
  </si>
  <si>
    <t>1 GW solar module plant in Jaipur (₹100Cr capex). SIDBI-funded. Backward integration for captive use + third-party sales. Delayed but progressing.</t>
  </si>
  <si>
    <t>Key Risk:</t>
  </si>
  <si>
    <t>Solar plant execution delay, government policy changes on RDSS/tenders, receivable days remaining high (170 days), competition from larger players.</t>
  </si>
  <si>
    <t>Key Catalyst:</t>
  </si>
  <si>
    <t>NSE mainboard listing, solar plant commissioning, ₹1500Cr+ tender pipeline, Forbes Asia recognition, credit rating upgrades.</t>
  </si>
  <si>
    <t>RMC SWITCHGEARS LTD — BALANCE SHEET (Consolidated, ₹ Cr)</t>
  </si>
  <si>
    <t>ASSETS</t>
  </si>
  <si>
    <t>Non-Current Assets</t>
  </si>
  <si>
    <t xml:space="preserve">  Property, Plant &amp; Equipment (Net)</t>
  </si>
  <si>
    <t xml:space="preserve">  Other Non-Current Assets</t>
  </si>
  <si>
    <t>Total Non-Current Assets</t>
  </si>
  <si>
    <t>Current Assets</t>
  </si>
  <si>
    <t xml:space="preserve">  Inventories</t>
  </si>
  <si>
    <t xml:space="preserve">  Trade Receivables</t>
  </si>
  <si>
    <t xml:space="preserve">  Cash &amp; Equivalents</t>
  </si>
  <si>
    <t xml:space="preserve">  Other Current Assets</t>
  </si>
  <si>
    <t>Total Current Assets</t>
  </si>
  <si>
    <t>TOTAL ASSETS</t>
  </si>
  <si>
    <t>EQUITY &amp; LIABILITIES</t>
  </si>
  <si>
    <t>Shareholders' Equity</t>
  </si>
  <si>
    <t xml:space="preserve">  Share Capital</t>
  </si>
  <si>
    <t xml:space="preserve">  Reserves &amp; Surplus</t>
  </si>
  <si>
    <t>Total Equity</t>
  </si>
  <si>
    <t>Non-Current Liabilities</t>
  </si>
  <si>
    <t xml:space="preserve">  Long-Term Borrowings</t>
  </si>
  <si>
    <t xml:space="preserve">  Other NC Liabilities</t>
  </si>
  <si>
    <t>Total Non-Current Liabilities</t>
  </si>
  <si>
    <t>Current Liabilities</t>
  </si>
  <si>
    <t xml:space="preserve">  Short-Term Borrowings</t>
  </si>
  <si>
    <t xml:space="preserve">  Trade Payables</t>
  </si>
  <si>
    <t xml:space="preserve">  Other Current Liabilities</t>
  </si>
  <si>
    <t>Total Current Liabilities</t>
  </si>
  <si>
    <t>TOTAL EQUITY &amp; LIABILITIES</t>
  </si>
  <si>
    <t>RMC SWITCHGEARS LTD — CASH FLOW STATEMENT (Consolidated, ₹ Cr)</t>
  </si>
  <si>
    <t>CASH FLOW FROM OPERATIONS</t>
  </si>
  <si>
    <t>Profit Before Tax</t>
  </si>
  <si>
    <t>(+) Depreciation</t>
  </si>
  <si>
    <t>(+) Finance Costs</t>
  </si>
  <si>
    <t>(-) Working Capital Changes</t>
  </si>
  <si>
    <t>(-) Tax Paid</t>
  </si>
  <si>
    <t>Net Cash from Operations (CFO)</t>
  </si>
  <si>
    <t>CASH FLOW FROM INVESTING</t>
  </si>
  <si>
    <t>(-) Investments / Others</t>
  </si>
  <si>
    <t>Net Cash from Investing (CFI)</t>
  </si>
  <si>
    <t>CASH FLOW FROM FINANCING</t>
  </si>
  <si>
    <t>Net Borrowings</t>
  </si>
  <si>
    <t>(-) Interest Paid</t>
  </si>
  <si>
    <t>(-) Dividend</t>
  </si>
  <si>
    <t>Share Premium / Issue</t>
  </si>
  <si>
    <t>Net Cash from Financing (CFF)</t>
  </si>
  <si>
    <t>NET CHANGE IN CASH</t>
  </si>
  <si>
    <t>Opening Cash</t>
  </si>
  <si>
    <t>Closing Cash</t>
  </si>
  <si>
    <t>RMC SWITCHGEARS — SUPPORTING SCHEDULES</t>
  </si>
  <si>
    <t>SCHEDULE 1: DEBT SCHEDULE (₹ Cr)</t>
  </si>
  <si>
    <t>Long-Term Debt</t>
  </si>
  <si>
    <t>Short-Term Debt</t>
  </si>
  <si>
    <t>Total Debt</t>
  </si>
  <si>
    <t>(-) Cash &amp; Equivalents</t>
  </si>
  <si>
    <t>Net Debt</t>
  </si>
  <si>
    <t>Debt/Equity Ratio</t>
  </si>
  <si>
    <t>SCHEDULE 2: WORKING CAPITAL DAYS</t>
  </si>
  <si>
    <t>Cash Conversion Cycle</t>
  </si>
  <si>
    <t>Working Capital as % Rev</t>
  </si>
  <si>
    <t>SCHEDULE 3: KEY RETURN RATIOS</t>
  </si>
  <si>
    <t>ROE (%)</t>
  </si>
  <si>
    <t>ROCE (%)</t>
  </si>
  <si>
    <t>ROA (%)</t>
  </si>
  <si>
    <t>Asset Turnover (x)</t>
  </si>
  <si>
    <t>Equity Weight (Book Value)</t>
  </si>
  <si>
    <t>Debt Weight (Book Value)</t>
  </si>
  <si>
    <t>FY25A: SH Equity / (SH Equity + Total Debt)</t>
  </si>
  <si>
    <t>FY25A: Total Debt / (SH Equity + Total Debt)</t>
  </si>
  <si>
    <t>7.2% + 1.4×6.5% + 3% = 19.3%</t>
  </si>
  <si>
    <t>10.5% × (1 - 25.17%) = 7.86%</t>
  </si>
  <si>
    <t>0.85×19.3% + 0.15×7.86% = 17.6%</t>
  </si>
  <si>
    <t>n/a</t>
  </si>
  <si>
    <t xml:space="preserve">  EBITDA Margin (%) — incl. Other Income</t>
  </si>
  <si>
    <t>Note: Sensitivity values are hardcoded scenarios. Update manually if WACC/growth assumptions change.</t>
  </si>
  <si>
    <t>Other Current Assets (% of Rev)</t>
  </si>
  <si>
    <t>Other Current Liabilities (% of Rev)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</si>
</sst>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0.0%"/>
    <numFmt numFmtId="166" formatCode="\₹#,##0.0"/>
    <numFmt numFmtId="167" formatCode="0.0000"/>
    <numFmt numFmtId="168" formatCode="\₹#,##0"/>
    <numFmt numFmtId="169" formatCode="0.0\x"/>
    <numFmt numFmtId="170" formatCode="0.00\x"/>
    <numFmt numFmtId="171" formatCode="0.00&quot;x&quot;"/>
  </numFmts>
  <fonts count="30" x14ac:knownFonts="1">
    <font>
      <sz val="11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Calibri"/>
      <family val="2"/>
      <scheme val="minor"/>
    </font>
    <font>
      <i/>
      <sz val="10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9"/>
      <color rgb="FF1B2A4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1B2A4A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i/>
      <sz val="10"/>
      <color rgb="FF1B2A4A"/>
      <name val="Calibri"/>
      <family val="2"/>
      <scheme val="minor"/>
    </font>
    <font>
      <b/>
      <sz val="22"/>
      <color rgb="FFFFFFFF"/>
      <name val="Calibri"/>
      <family val="2"/>
    </font>
    <font>
      <b/>
      <sz val="13"/>
      <color rgb="FF4A5568"/>
      <name val="Calibri"/>
      <family val="2"/>
    </font>
    <font>
      <sz val="10"/>
      <color rgb="FF718096"/>
      <name val="Calibri"/>
      <family val="2"/>
      <scheme val="minor"/>
    </font>
    <font>
      <b/>
      <u/>
      <sz val="12"/>
      <color rgb="FF1B2A4A"/>
      <name val="Calibri"/>
      <family val="2"/>
    </font>
    <font>
      <sz val="10"/>
      <color rgb="FF4A5568"/>
      <name val="Calibri"/>
      <family val="2"/>
      <scheme val="minor"/>
    </font>
    <font>
      <i/>
      <sz val="10"/>
      <color rgb="FF4A5568"/>
      <name val="Calibri"/>
      <family val="2"/>
      <scheme val="minor"/>
    </font>
    <font>
      <i/>
      <sz val="9"/>
      <color rgb="FFA0AEC0"/>
      <name val="Calibri"/>
      <family val="2"/>
      <scheme val="minor"/>
    </font>
    <font>
      <b/>
      <sz val="11"/>
      <color rgb="FF1B2A4A"/>
      <name val="Calibri"/>
      <family val="2"/>
      <scheme val="minor"/>
    </font>
    <font>
      <b/>
      <sz val="12"/>
      <color rgb="FF1B2A4A"/>
      <name val="Calibri"/>
      <family val="2"/>
      <scheme val="minor"/>
    </font>
    <font>
      <b/>
      <sz val="14"/>
      <color rgb="FF1B2A4A"/>
      <name val="Calibri"/>
      <family val="2"/>
      <scheme val="minor"/>
    </font>
    <font>
      <b/>
      <sz val="10"/>
      <color rgb="FF16A34A"/>
      <name val="Calibri"/>
      <family val="2"/>
      <scheme val="minor"/>
    </font>
    <font>
      <b/>
      <sz val="10"/>
      <color rgb="FF2563EB"/>
      <name val="Calibri"/>
      <family val="2"/>
      <scheme val="minor"/>
    </font>
    <font>
      <b/>
      <sz val="10"/>
      <color rgb="FFDC262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8F0E4"/>
        <bgColor indexed="64"/>
      </patternFill>
    </fill>
    <fill>
      <patternFill patternType="solid">
        <fgColor rgb="FFDCE8F4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DF3"/>
        <bgColor indexed="64"/>
      </patternFill>
    </fill>
    <fill>
      <patternFill patternType="solid">
        <fgColor rgb="FFFAFAFA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1B2A4A"/>
      </top>
      <bottom style="double">
        <color rgb="FF1B2A4A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n">
        <color auto="1"/>
      </top>
      <bottom style="thin">
        <color auto="1"/>
      </bottom>
      <diagonal/>
    </border>
    <border>
      <left/>
      <right style="thin">
        <color rgb="FFE0E0E0"/>
      </right>
      <top style="thin">
        <color auto="1"/>
      </top>
      <bottom style="thin">
        <color auto="1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/>
      <top style="thin">
        <color rgb="FFE2E8F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E0E0E0"/>
      </left>
      <right style="thin">
        <color rgb="FFE0E0E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6" fillId="2" borderId="0" xfId="0" applyFont="1" applyFill="1"/>
    <xf numFmtId="0" fontId="7" fillId="0" borderId="0" xfId="0" applyFont="1"/>
    <xf numFmtId="0" fontId="6" fillId="0" borderId="0" xfId="0" applyFont="1"/>
    <xf numFmtId="164" fontId="7" fillId="0" borderId="0" xfId="0" applyNumberFormat="1" applyFont="1"/>
    <xf numFmtId="0" fontId="7" fillId="6" borderId="0" xfId="0" applyFont="1" applyFill="1"/>
    <xf numFmtId="0" fontId="8" fillId="0" borderId="0" xfId="0" applyFont="1"/>
    <xf numFmtId="165" fontId="7" fillId="0" borderId="0" xfId="0" applyNumberFormat="1" applyFont="1"/>
    <xf numFmtId="0" fontId="6" fillId="3" borderId="0" xfId="0" applyFont="1" applyFill="1"/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2" fillId="10" borderId="0" xfId="0" applyFont="1" applyFill="1"/>
    <xf numFmtId="0" fontId="13" fillId="11" borderId="2" xfId="0" applyFont="1" applyFill="1" applyBorder="1"/>
    <xf numFmtId="0" fontId="13" fillId="12" borderId="4" xfId="0" applyFont="1" applyFill="1" applyBorder="1"/>
    <xf numFmtId="0" fontId="13" fillId="13" borderId="2" xfId="0" applyFont="1" applyFill="1" applyBorder="1"/>
    <xf numFmtId="0" fontId="14" fillId="0" borderId="0" xfId="0" applyFont="1"/>
    <xf numFmtId="164" fontId="7" fillId="0" borderId="6" xfId="0" applyNumberFormat="1" applyFont="1" applyBorder="1"/>
    <xf numFmtId="164" fontId="7" fillId="0" borderId="9" xfId="0" applyNumberFormat="1" applyFont="1" applyBorder="1"/>
    <xf numFmtId="164" fontId="13" fillId="11" borderId="11" xfId="0" applyNumberFormat="1" applyFont="1" applyFill="1" applyBorder="1"/>
    <xf numFmtId="164" fontId="7" fillId="0" borderId="5" xfId="0" applyNumberFormat="1" applyFont="1" applyBorder="1"/>
    <xf numFmtId="164" fontId="7" fillId="0" borderId="13" xfId="0" applyNumberFormat="1" applyFont="1" applyBorder="1"/>
    <xf numFmtId="0" fontId="7" fillId="0" borderId="5" xfId="0" applyFont="1" applyBorder="1"/>
    <xf numFmtId="0" fontId="7" fillId="0" borderId="13" xfId="0" applyFont="1" applyBorder="1"/>
    <xf numFmtId="0" fontId="12" fillId="10" borderId="5" xfId="0" applyFont="1" applyFill="1" applyBorder="1"/>
    <xf numFmtId="0" fontId="12" fillId="10" borderId="13" xfId="0" applyFont="1" applyFill="1" applyBorder="1"/>
    <xf numFmtId="164" fontId="7" fillId="0" borderId="8" xfId="0" applyNumberFormat="1" applyFont="1" applyBorder="1"/>
    <xf numFmtId="164" fontId="13" fillId="11" borderId="8" xfId="0" applyNumberFormat="1" applyFont="1" applyFill="1" applyBorder="1"/>
    <xf numFmtId="0" fontId="7" fillId="0" borderId="8" xfId="0" applyFont="1" applyBorder="1"/>
    <xf numFmtId="0" fontId="12" fillId="10" borderId="8" xfId="0" applyFont="1" applyFill="1" applyBorder="1"/>
    <xf numFmtId="164" fontId="13" fillId="13" borderId="8" xfId="0" applyNumberFormat="1" applyFont="1" applyFill="1" applyBorder="1"/>
    <xf numFmtId="165" fontId="14" fillId="0" borderId="8" xfId="0" applyNumberFormat="1" applyFont="1" applyBorder="1"/>
    <xf numFmtId="164" fontId="13" fillId="12" borderId="8" xfId="0" applyNumberFormat="1" applyFont="1" applyFill="1" applyBorder="1"/>
    <xf numFmtId="2" fontId="7" fillId="0" borderId="8" xfId="0" applyNumberFormat="1" applyFont="1" applyBorder="1"/>
    <xf numFmtId="166" fontId="6" fillId="0" borderId="8" xfId="0" applyNumberFormat="1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3" fillId="11" borderId="2" xfId="0" applyFont="1" applyFill="1" applyBorder="1" applyAlignment="1">
      <alignment horizontal="left"/>
    </xf>
    <xf numFmtId="0" fontId="11" fillId="10" borderId="0" xfId="0" applyFont="1" applyFill="1" applyAlignment="1">
      <alignment horizontal="left"/>
    </xf>
    <xf numFmtId="0" fontId="13" fillId="13" borderId="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3" fillId="12" borderId="4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7" fillId="0" borderId="14" xfId="0" applyNumberFormat="1" applyFont="1" applyBorder="1"/>
    <xf numFmtId="164" fontId="7" fillId="0" borderId="15" xfId="0" applyNumberFormat="1" applyFont="1" applyBorder="1"/>
    <xf numFmtId="0" fontId="13" fillId="13" borderId="4" xfId="0" applyFont="1" applyFill="1" applyBorder="1"/>
    <xf numFmtId="164" fontId="12" fillId="10" borderId="8" xfId="0" applyNumberFormat="1" applyFont="1" applyFill="1" applyBorder="1"/>
    <xf numFmtId="0" fontId="13" fillId="13" borderId="4" xfId="0" applyFont="1" applyFill="1" applyBorder="1" applyAlignment="1">
      <alignment horizontal="left"/>
    </xf>
    <xf numFmtId="168" fontId="7" fillId="0" borderId="0" xfId="0" applyNumberFormat="1" applyFont="1"/>
    <xf numFmtId="168" fontId="13" fillId="13" borderId="0" xfId="0" applyNumberFormat="1" applyFont="1" applyFill="1"/>
    <xf numFmtId="0" fontId="13" fillId="13" borderId="0" xfId="0" applyFont="1" applyFill="1"/>
    <xf numFmtId="164" fontId="7" fillId="0" borderId="7" xfId="0" applyNumberFormat="1" applyFont="1" applyBorder="1"/>
    <xf numFmtId="164" fontId="7" fillId="0" borderId="10" xfId="0" applyNumberFormat="1" applyFont="1" applyBorder="1"/>
    <xf numFmtId="167" fontId="14" fillId="0" borderId="8" xfId="0" applyNumberFormat="1" applyFont="1" applyBorder="1"/>
    <xf numFmtId="3" fontId="7" fillId="0" borderId="0" xfId="0" applyNumberFormat="1" applyFont="1"/>
    <xf numFmtId="169" fontId="7" fillId="0" borderId="0" xfId="0" applyNumberFormat="1" applyFont="1"/>
    <xf numFmtId="169" fontId="7" fillId="6" borderId="0" xfId="0" applyNumberFormat="1" applyFont="1" applyFill="1"/>
    <xf numFmtId="0" fontId="10" fillId="5" borderId="1" xfId="0" applyFont="1" applyFill="1" applyBorder="1" applyAlignment="1">
      <alignment horizontal="center"/>
    </xf>
    <xf numFmtId="169" fontId="13" fillId="11" borderId="2" xfId="0" applyNumberFormat="1" applyFont="1" applyFill="1" applyBorder="1"/>
    <xf numFmtId="0" fontId="10" fillId="5" borderId="0" xfId="0" applyFont="1" applyFill="1" applyAlignment="1">
      <alignment horizontal="center"/>
    </xf>
    <xf numFmtId="165" fontId="7" fillId="0" borderId="10" xfId="0" applyNumberFormat="1" applyFont="1" applyBorder="1"/>
    <xf numFmtId="165" fontId="7" fillId="0" borderId="13" xfId="0" applyNumberFormat="1" applyFont="1" applyBorder="1"/>
    <xf numFmtId="3" fontId="7" fillId="0" borderId="8" xfId="0" applyNumberFormat="1" applyFont="1" applyBorder="1"/>
    <xf numFmtId="169" fontId="7" fillId="0" borderId="8" xfId="0" applyNumberFormat="1" applyFont="1" applyBorder="1"/>
    <xf numFmtId="165" fontId="7" fillId="0" borderId="8" xfId="0" applyNumberFormat="1" applyFont="1" applyBorder="1"/>
    <xf numFmtId="0" fontId="6" fillId="6" borderId="0" xfId="0" applyFont="1" applyFill="1" applyAlignment="1">
      <alignment horizontal="left"/>
    </xf>
    <xf numFmtId="168" fontId="7" fillId="0" borderId="8" xfId="0" applyNumberFormat="1" applyFont="1" applyBorder="1"/>
    <xf numFmtId="165" fontId="7" fillId="0" borderId="7" xfId="0" applyNumberFormat="1" applyFont="1" applyBorder="1"/>
    <xf numFmtId="165" fontId="7" fillId="0" borderId="5" xfId="0" applyNumberFormat="1" applyFont="1" applyBorder="1"/>
    <xf numFmtId="3" fontId="7" fillId="0" borderId="8" xfId="0" applyNumberFormat="1" applyFont="1" applyBorder="1" applyAlignment="1">
      <alignment horizontal="center"/>
    </xf>
    <xf numFmtId="3" fontId="13" fillId="12" borderId="8" xfId="0" applyNumberFormat="1" applyFont="1" applyFill="1" applyBorder="1"/>
    <xf numFmtId="170" fontId="7" fillId="0" borderId="0" xfId="0" applyNumberFormat="1" applyFont="1"/>
    <xf numFmtId="1" fontId="7" fillId="0" borderId="0" xfId="0" applyNumberFormat="1" applyFont="1"/>
    <xf numFmtId="1" fontId="13" fillId="11" borderId="2" xfId="0" applyNumberFormat="1" applyFont="1" applyFill="1" applyBorder="1"/>
    <xf numFmtId="0" fontId="10" fillId="3" borderId="0" xfId="0" applyFont="1" applyFill="1" applyAlignment="1">
      <alignment horizontal="center"/>
    </xf>
    <xf numFmtId="170" fontId="7" fillId="0" borderId="7" xfId="0" applyNumberFormat="1" applyFont="1" applyBorder="1"/>
    <xf numFmtId="0" fontId="6" fillId="4" borderId="0" xfId="0" applyFont="1" applyFill="1" applyAlignment="1">
      <alignment horizontal="center"/>
    </xf>
    <xf numFmtId="0" fontId="16" fillId="11" borderId="2" xfId="0" applyFont="1" applyFill="1" applyBorder="1"/>
    <xf numFmtId="164" fontId="7" fillId="0" borderId="8" xfId="0" applyNumberFormat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165" fontId="13" fillId="11" borderId="8" xfId="0" applyNumberFormat="1" applyFont="1" applyFill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8" fillId="0" borderId="8" xfId="0" applyFont="1" applyBorder="1"/>
    <xf numFmtId="165" fontId="13" fillId="13" borderId="8" xfId="0" applyNumberFormat="1" applyFont="1" applyFill="1" applyBorder="1" applyAlignment="1">
      <alignment horizontal="center"/>
    </xf>
    <xf numFmtId="0" fontId="16" fillId="11" borderId="8" xfId="0" applyFont="1" applyFill="1" applyBorder="1"/>
    <xf numFmtId="0" fontId="13" fillId="11" borderId="8" xfId="0" applyFont="1" applyFill="1" applyBorder="1"/>
    <xf numFmtId="0" fontId="16" fillId="11" borderId="2" xfId="0" applyFont="1" applyFill="1" applyBorder="1" applyAlignment="1">
      <alignment horizontal="left"/>
    </xf>
    <xf numFmtId="9" fontId="7" fillId="0" borderId="0" xfId="0" applyNumberFormat="1" applyFont="1"/>
    <xf numFmtId="9" fontId="7" fillId="0" borderId="8" xfId="0" applyNumberFormat="1" applyFont="1" applyBorder="1"/>
    <xf numFmtId="0" fontId="0" fillId="14" borderId="0" xfId="0" applyFill="1"/>
    <xf numFmtId="0" fontId="17" fillId="7" borderId="0" xfId="0" applyFont="1" applyFill="1"/>
    <xf numFmtId="0" fontId="18" fillId="14" borderId="0" xfId="0" applyFont="1" applyFill="1"/>
    <xf numFmtId="0" fontId="19" fillId="14" borderId="0" xfId="0" applyFont="1" applyFill="1"/>
    <xf numFmtId="0" fontId="20" fillId="14" borderId="1" xfId="0" applyFont="1" applyFill="1" applyBorder="1"/>
    <xf numFmtId="0" fontId="21" fillId="14" borderId="0" xfId="0" applyFont="1" applyFill="1"/>
    <xf numFmtId="0" fontId="22" fillId="14" borderId="0" xfId="0" applyFont="1" applyFill="1"/>
    <xf numFmtId="0" fontId="23" fillId="14" borderId="16" xfId="0" applyFont="1" applyFill="1" applyBorder="1"/>
    <xf numFmtId="0" fontId="9" fillId="0" borderId="0" xfId="0" applyFont="1"/>
    <xf numFmtId="0" fontId="24" fillId="0" borderId="0" xfId="0" applyFont="1"/>
    <xf numFmtId="0" fontId="12" fillId="7" borderId="1" xfId="0" applyFont="1" applyFill="1" applyBorder="1" applyAlignment="1">
      <alignment horizontal="center"/>
    </xf>
    <xf numFmtId="165" fontId="13" fillId="15" borderId="0" xfId="0" applyNumberFormat="1" applyFont="1" applyFill="1" applyAlignment="1">
      <alignment horizontal="left"/>
    </xf>
    <xf numFmtId="168" fontId="7" fillId="0" borderId="17" xfId="0" applyNumberFormat="1" applyFont="1" applyBorder="1" applyAlignment="1">
      <alignment horizontal="center"/>
    </xf>
    <xf numFmtId="168" fontId="7" fillId="0" borderId="18" xfId="0" applyNumberFormat="1" applyFont="1" applyBorder="1" applyAlignment="1">
      <alignment horizontal="center"/>
    </xf>
    <xf numFmtId="168" fontId="7" fillId="0" borderId="19" xfId="0" applyNumberFormat="1" applyFont="1" applyBorder="1" applyAlignment="1">
      <alignment horizontal="center"/>
    </xf>
    <xf numFmtId="168" fontId="7" fillId="0" borderId="20" xfId="0" applyNumberFormat="1" applyFont="1" applyBorder="1" applyAlignment="1">
      <alignment horizontal="center"/>
    </xf>
    <xf numFmtId="168" fontId="7" fillId="0" borderId="21" xfId="0" applyNumberFormat="1" applyFont="1" applyBorder="1" applyAlignment="1">
      <alignment horizontal="center"/>
    </xf>
    <xf numFmtId="168" fontId="13" fillId="13" borderId="22" xfId="0" applyNumberFormat="1" applyFont="1" applyFill="1" applyBorder="1" applyAlignment="1">
      <alignment horizontal="center"/>
    </xf>
    <xf numFmtId="0" fontId="11" fillId="7" borderId="0" xfId="0" applyFont="1" applyFill="1"/>
    <xf numFmtId="0" fontId="12" fillId="7" borderId="0" xfId="0" applyFont="1" applyFill="1"/>
    <xf numFmtId="9" fontId="12" fillId="7" borderId="0" xfId="0" applyNumberFormat="1" applyFont="1" applyFill="1" applyAlignment="1">
      <alignment horizontal="center"/>
    </xf>
    <xf numFmtId="9" fontId="13" fillId="15" borderId="0" xfId="0" applyNumberFormat="1" applyFont="1" applyFill="1"/>
    <xf numFmtId="0" fontId="25" fillId="13" borderId="4" xfId="0" applyFont="1" applyFill="1" applyBorder="1" applyAlignment="1">
      <alignment horizontal="left"/>
    </xf>
    <xf numFmtId="0" fontId="25" fillId="13" borderId="4" xfId="0" applyFont="1" applyFill="1" applyBorder="1"/>
    <xf numFmtId="168" fontId="25" fillId="13" borderId="4" xfId="0" applyNumberFormat="1" applyFont="1" applyFill="1" applyBorder="1"/>
    <xf numFmtId="168" fontId="26" fillId="13" borderId="4" xfId="0" applyNumberFormat="1" applyFont="1" applyFill="1" applyBorder="1"/>
    <xf numFmtId="0" fontId="9" fillId="0" borderId="0" xfId="0" applyFont="1" applyAlignment="1">
      <alignment horizontal="left"/>
    </xf>
    <xf numFmtId="165" fontId="9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6" fillId="11" borderId="3" xfId="0" applyFont="1" applyFill="1" applyBorder="1"/>
    <xf numFmtId="164" fontId="13" fillId="11" borderId="3" xfId="0" applyNumberFormat="1" applyFont="1" applyFill="1" applyBorder="1"/>
    <xf numFmtId="0" fontId="13" fillId="11" borderId="3" xfId="0" applyFont="1" applyFill="1" applyBorder="1"/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13" fillId="8" borderId="2" xfId="0" applyFont="1" applyFill="1" applyBorder="1" applyAlignment="1">
      <alignment wrapText="1"/>
    </xf>
    <xf numFmtId="0" fontId="7" fillId="16" borderId="8" xfId="0" applyFont="1" applyFill="1" applyBorder="1" applyAlignment="1">
      <alignment horizontal="left" vertical="top" wrapText="1"/>
    </xf>
    <xf numFmtId="0" fontId="7" fillId="16" borderId="8" xfId="0" applyFont="1" applyFill="1" applyBorder="1" applyAlignment="1">
      <alignment vertical="top" wrapText="1"/>
    </xf>
    <xf numFmtId="0" fontId="6" fillId="16" borderId="8" xfId="0" applyFont="1" applyFill="1" applyBorder="1" applyAlignment="1">
      <alignment vertical="top" wrapText="1"/>
    </xf>
    <xf numFmtId="165" fontId="5" fillId="0" borderId="8" xfId="0" applyNumberFormat="1" applyFont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0" fillId="7" borderId="0" xfId="0" applyFill="1"/>
    <xf numFmtId="171" fontId="7" fillId="0" borderId="13" xfId="0" applyNumberFormat="1" applyFont="1" applyBorder="1"/>
    <xf numFmtId="171" fontId="7" fillId="0" borderId="8" xfId="0" applyNumberFormat="1" applyFont="1" applyBorder="1"/>
    <xf numFmtId="171" fontId="7" fillId="0" borderId="5" xfId="0" applyNumberFormat="1" applyFont="1" applyBorder="1"/>
    <xf numFmtId="1" fontId="7" fillId="0" borderId="13" xfId="0" applyNumberFormat="1" applyFont="1" applyBorder="1"/>
    <xf numFmtId="1" fontId="7" fillId="0" borderId="8" xfId="0" applyNumberFormat="1" applyFont="1" applyBorder="1"/>
    <xf numFmtId="1" fontId="7" fillId="0" borderId="5" xfId="0" applyNumberFormat="1" applyFont="1" applyBorder="1"/>
    <xf numFmtId="165" fontId="12" fillId="7" borderId="0" xfId="0" applyNumberFormat="1" applyFont="1" applyFill="1" applyAlignment="1">
      <alignment horizontal="center"/>
    </xf>
    <xf numFmtId="165" fontId="7" fillId="0" borderId="15" xfId="0" applyNumberFormat="1" applyFont="1" applyBorder="1"/>
    <xf numFmtId="1" fontId="7" fillId="0" borderId="9" xfId="0" applyNumberFormat="1" applyFont="1" applyBorder="1"/>
    <xf numFmtId="1" fontId="7" fillId="0" borderId="14" xfId="0" applyNumberFormat="1" applyFont="1" applyBorder="1"/>
    <xf numFmtId="1" fontId="7" fillId="0" borderId="6" xfId="0" applyNumberFormat="1" applyFont="1" applyBorder="1"/>
    <xf numFmtId="1" fontId="13" fillId="11" borderId="12" xfId="0" applyNumberFormat="1" applyFont="1" applyFill="1" applyBorder="1"/>
    <xf numFmtId="1" fontId="13" fillId="11" borderId="23" xfId="0" applyNumberFormat="1" applyFont="1" applyFill="1" applyBorder="1"/>
    <xf numFmtId="1" fontId="13" fillId="11" borderId="11" xfId="0" applyNumberFormat="1" applyFont="1" applyFill="1" applyBorder="1"/>
    <xf numFmtId="170" fontId="7" fillId="0" borderId="15" xfId="0" applyNumberFormat="1" applyFont="1" applyBorder="1"/>
    <xf numFmtId="171" fontId="7" fillId="0" borderId="10" xfId="0" applyNumberFormat="1" applyFont="1" applyBorder="1"/>
    <xf numFmtId="171" fontId="7" fillId="0" borderId="15" xfId="0" applyNumberFormat="1" applyFont="1" applyBorder="1"/>
    <xf numFmtId="171" fontId="7" fillId="0" borderId="7" xfId="0" applyNumberFormat="1" applyFont="1" applyBorder="1"/>
    <xf numFmtId="164" fontId="13" fillId="11" borderId="23" xfId="0" applyNumberFormat="1" applyFont="1" applyFill="1" applyBorder="1"/>
    <xf numFmtId="0" fontId="6" fillId="9" borderId="0" xfId="0" applyFont="1" applyFill="1"/>
    <xf numFmtId="0" fontId="13" fillId="8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4F3D47-5F7C-425E-9C84-C920B155B133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89FD-FE2D-4A63-AF61-251F727B39A4}">
  <dimension ref="A1:A16"/>
  <sheetViews>
    <sheetView showGridLines="0" workbookViewId="0"/>
  </sheetViews>
  <sheetFormatPr defaultRowHeight="14.4" x14ac:dyDescent="0.3"/>
  <cols>
    <col min="1" max="1" width="92.5546875" customWidth="1"/>
  </cols>
  <sheetData>
    <row r="1" spans="1:1" ht="49.95" customHeight="1" x14ac:dyDescent="0.55000000000000004">
      <c r="A1" s="94" t="s">
        <v>0</v>
      </c>
    </row>
    <row r="2" spans="1:1" ht="28.05" customHeight="1" x14ac:dyDescent="0.35">
      <c r="A2" s="95" t="s">
        <v>1</v>
      </c>
    </row>
    <row r="3" spans="1:1" x14ac:dyDescent="0.3">
      <c r="A3" s="93"/>
    </row>
    <row r="4" spans="1:1" x14ac:dyDescent="0.3">
      <c r="A4" s="96" t="s">
        <v>2</v>
      </c>
    </row>
    <row r="5" spans="1:1" x14ac:dyDescent="0.3">
      <c r="A5" s="96" t="s">
        <v>3</v>
      </c>
    </row>
    <row r="6" spans="1:1" x14ac:dyDescent="0.3">
      <c r="A6" s="93"/>
    </row>
    <row r="7" spans="1:1" ht="28.05" customHeight="1" thickBot="1" x14ac:dyDescent="0.35">
      <c r="A7" s="97" t="s">
        <v>4</v>
      </c>
    </row>
    <row r="8" spans="1:1" ht="19.95" customHeight="1" x14ac:dyDescent="0.3">
      <c r="A8" s="98" t="s">
        <v>5</v>
      </c>
    </row>
    <row r="9" spans="1:1" ht="19.95" customHeight="1" x14ac:dyDescent="0.3">
      <c r="A9" s="98" t="s">
        <v>6</v>
      </c>
    </row>
    <row r="10" spans="1:1" ht="19.95" customHeight="1" x14ac:dyDescent="0.3">
      <c r="A10" s="98" t="s">
        <v>7</v>
      </c>
    </row>
    <row r="11" spans="1:1" ht="19.95" customHeight="1" x14ac:dyDescent="0.3">
      <c r="A11" s="98" t="s">
        <v>8</v>
      </c>
    </row>
    <row r="12" spans="1:1" ht="19.95" customHeight="1" x14ac:dyDescent="0.3">
      <c r="A12" s="98" t="s">
        <v>9</v>
      </c>
    </row>
    <row r="13" spans="1:1" x14ac:dyDescent="0.3">
      <c r="A13" s="93"/>
    </row>
    <row r="14" spans="1:1" x14ac:dyDescent="0.3">
      <c r="A14" s="99" t="s">
        <v>10</v>
      </c>
    </row>
    <row r="15" spans="1:1" x14ac:dyDescent="0.3">
      <c r="A15" s="93"/>
    </row>
    <row r="16" spans="1:1" x14ac:dyDescent="0.3">
      <c r="A16" s="100" t="s">
        <v>11</v>
      </c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99ED-B649-40FE-BEBD-982965FF9DA7}">
  <dimension ref="A1:R46"/>
  <sheetViews>
    <sheetView showGridLines="0" workbookViewId="0">
      <pane ySplit="3" topLeftCell="A11" activePane="bottomLeft" state="frozen"/>
      <selection pane="bottomLeft"/>
    </sheetView>
  </sheetViews>
  <sheetFormatPr defaultRowHeight="14.4" x14ac:dyDescent="0.3"/>
  <cols>
    <col min="1" max="1" width="42.5546875" customWidth="1"/>
    <col min="2" max="3" width="3.6640625" customWidth="1"/>
    <col min="4" max="17" width="14.44140625" customWidth="1"/>
    <col min="18" max="18" width="55.5546875" customWidth="1"/>
  </cols>
  <sheetData>
    <row r="1" spans="1:18" ht="28.05" customHeight="1" x14ac:dyDescent="0.3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2.05" customHeight="1" thickBot="1" x14ac:dyDescent="0.35">
      <c r="A3" s="6" t="s">
        <v>13</v>
      </c>
      <c r="B3" s="2"/>
      <c r="C3" s="2"/>
      <c r="D3" s="12" t="s">
        <v>14</v>
      </c>
      <c r="E3" s="12" t="s">
        <v>15</v>
      </c>
      <c r="F3" s="12" t="s">
        <v>16</v>
      </c>
      <c r="G3" s="12" t="s">
        <v>17</v>
      </c>
      <c r="H3" s="13" t="s">
        <v>18</v>
      </c>
      <c r="I3" s="13" t="s">
        <v>19</v>
      </c>
      <c r="J3" s="13" t="s">
        <v>20</v>
      </c>
      <c r="K3" s="13" t="s">
        <v>21</v>
      </c>
      <c r="L3" s="13" t="s">
        <v>22</v>
      </c>
      <c r="M3" s="13" t="s">
        <v>23</v>
      </c>
      <c r="N3" s="13" t="s">
        <v>24</v>
      </c>
      <c r="O3" s="13" t="s">
        <v>25</v>
      </c>
      <c r="P3" s="13" t="s">
        <v>26</v>
      </c>
      <c r="Q3" s="13" t="s">
        <v>27</v>
      </c>
      <c r="R3" s="79" t="s">
        <v>28</v>
      </c>
    </row>
    <row r="4" spans="1:18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9.95" customHeight="1" x14ac:dyDescent="0.3">
      <c r="A5" s="14" t="s">
        <v>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8" customHeight="1" x14ac:dyDescent="0.3">
      <c r="A6" s="37" t="s">
        <v>30</v>
      </c>
      <c r="B6" s="2"/>
      <c r="C6" s="2"/>
      <c r="D6" s="81">
        <v>42.2</v>
      </c>
      <c r="E6" s="81">
        <v>125.3</v>
      </c>
      <c r="F6" s="81">
        <v>172.6</v>
      </c>
      <c r="G6" s="81">
        <v>316.3</v>
      </c>
      <c r="H6" s="81">
        <v>475</v>
      </c>
      <c r="I6" s="81">
        <v>665</v>
      </c>
      <c r="J6" s="81">
        <v>930</v>
      </c>
      <c r="K6" s="81">
        <v>1255</v>
      </c>
      <c r="L6" s="81">
        <v>1630</v>
      </c>
      <c r="M6" s="81">
        <v>2040</v>
      </c>
      <c r="N6" s="81">
        <v>2450</v>
      </c>
      <c r="O6" s="81">
        <v>2890</v>
      </c>
      <c r="P6" s="81">
        <v>3350</v>
      </c>
      <c r="Q6" s="81">
        <v>3820</v>
      </c>
      <c r="R6" s="6" t="s">
        <v>31</v>
      </c>
    </row>
    <row r="7" spans="1:18" ht="18" customHeight="1" x14ac:dyDescent="0.3">
      <c r="A7" s="42" t="s">
        <v>32</v>
      </c>
      <c r="B7" s="18"/>
      <c r="C7" s="18"/>
      <c r="D7" s="82" t="s">
        <v>379</v>
      </c>
      <c r="E7" s="82">
        <f t="shared" ref="E7:Q7" si="0">(E6-D6)/D6</f>
        <v>1.9691943127962082</v>
      </c>
      <c r="F7" s="82">
        <f t="shared" si="0"/>
        <v>0.37749401436552271</v>
      </c>
      <c r="G7" s="82">
        <f t="shared" si="0"/>
        <v>0.83256083429895722</v>
      </c>
      <c r="H7" s="82">
        <f t="shared" si="0"/>
        <v>0.50173885551691422</v>
      </c>
      <c r="I7" s="82">
        <f t="shared" si="0"/>
        <v>0.4</v>
      </c>
      <c r="J7" s="82">
        <f t="shared" si="0"/>
        <v>0.39849624060150374</v>
      </c>
      <c r="K7" s="82">
        <f t="shared" si="0"/>
        <v>0.34946236559139787</v>
      </c>
      <c r="L7" s="82">
        <f t="shared" si="0"/>
        <v>0.29880478087649404</v>
      </c>
      <c r="M7" s="82">
        <f t="shared" si="0"/>
        <v>0.25153374233128833</v>
      </c>
      <c r="N7" s="82">
        <f t="shared" si="0"/>
        <v>0.20098039215686275</v>
      </c>
      <c r="O7" s="82">
        <f t="shared" si="0"/>
        <v>0.17959183673469387</v>
      </c>
      <c r="P7" s="82">
        <f t="shared" si="0"/>
        <v>0.15916955017301038</v>
      </c>
      <c r="Q7" s="82">
        <f t="shared" si="0"/>
        <v>0.14029850746268657</v>
      </c>
      <c r="R7" s="18" t="s">
        <v>33</v>
      </c>
    </row>
    <row r="8" spans="1:18" ht="18" customHeight="1" x14ac:dyDescent="0.3">
      <c r="A8" s="38"/>
      <c r="B8" s="2"/>
      <c r="C8" s="2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2"/>
    </row>
    <row r="9" spans="1:18" ht="19.95" customHeight="1" x14ac:dyDescent="0.3">
      <c r="A9" s="40" t="s">
        <v>34</v>
      </c>
      <c r="B9" s="14"/>
      <c r="C9" s="14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14"/>
    </row>
    <row r="10" spans="1:18" ht="18" customHeight="1" x14ac:dyDescent="0.3">
      <c r="A10" s="38" t="s">
        <v>35</v>
      </c>
      <c r="B10" s="2"/>
      <c r="C10" s="2"/>
      <c r="D10" s="83">
        <v>0.87</v>
      </c>
      <c r="E10" s="83">
        <v>0.79200000000000004</v>
      </c>
      <c r="F10" s="83">
        <v>0.55300000000000005</v>
      </c>
      <c r="G10" s="83">
        <v>0.70299999999999996</v>
      </c>
      <c r="H10" s="83">
        <v>0.72</v>
      </c>
      <c r="I10" s="83">
        <v>0.71</v>
      </c>
      <c r="J10" s="83">
        <v>0.7</v>
      </c>
      <c r="K10" s="83">
        <v>0.69499999999999995</v>
      </c>
      <c r="L10" s="83">
        <v>0.69</v>
      </c>
      <c r="M10" s="83">
        <v>0.68799999999999994</v>
      </c>
      <c r="N10" s="83">
        <v>0.68500000000000005</v>
      </c>
      <c r="O10" s="83">
        <v>0.68300000000000005</v>
      </c>
      <c r="P10" s="83">
        <v>0.68</v>
      </c>
      <c r="Q10" s="83">
        <v>0.67800000000000005</v>
      </c>
      <c r="R10" s="6" t="s">
        <v>36</v>
      </c>
    </row>
    <row r="11" spans="1:18" ht="18" customHeight="1" x14ac:dyDescent="0.3">
      <c r="A11" s="42" t="s">
        <v>37</v>
      </c>
      <c r="B11" s="18"/>
      <c r="C11" s="18"/>
      <c r="D11" s="82">
        <f t="shared" ref="D11:Q11" si="1">1-D10</f>
        <v>0.13</v>
      </c>
      <c r="E11" s="82">
        <f t="shared" si="1"/>
        <v>0.20799999999999996</v>
      </c>
      <c r="F11" s="82">
        <f t="shared" si="1"/>
        <v>0.44699999999999995</v>
      </c>
      <c r="G11" s="82">
        <f t="shared" si="1"/>
        <v>0.29700000000000004</v>
      </c>
      <c r="H11" s="82">
        <f t="shared" si="1"/>
        <v>0.28000000000000003</v>
      </c>
      <c r="I11" s="82">
        <f t="shared" si="1"/>
        <v>0.29000000000000004</v>
      </c>
      <c r="J11" s="82">
        <f t="shared" si="1"/>
        <v>0.30000000000000004</v>
      </c>
      <c r="K11" s="82">
        <f t="shared" si="1"/>
        <v>0.30500000000000005</v>
      </c>
      <c r="L11" s="82">
        <f t="shared" si="1"/>
        <v>0.31000000000000005</v>
      </c>
      <c r="M11" s="82">
        <f t="shared" si="1"/>
        <v>0.31200000000000006</v>
      </c>
      <c r="N11" s="82">
        <f t="shared" si="1"/>
        <v>0.31499999999999995</v>
      </c>
      <c r="O11" s="82">
        <f t="shared" si="1"/>
        <v>0.31699999999999995</v>
      </c>
      <c r="P11" s="82">
        <f t="shared" si="1"/>
        <v>0.31999999999999995</v>
      </c>
      <c r="Q11" s="82">
        <f t="shared" si="1"/>
        <v>0.32199999999999995</v>
      </c>
      <c r="R11" s="18" t="s">
        <v>38</v>
      </c>
    </row>
    <row r="12" spans="1:18" ht="18" customHeight="1" x14ac:dyDescent="0.3">
      <c r="A12" s="38" t="s">
        <v>39</v>
      </c>
      <c r="B12" s="2"/>
      <c r="C12" s="2"/>
      <c r="D12" s="83">
        <v>5.8999999999999997E-2</v>
      </c>
      <c r="E12" s="83">
        <v>4.3999999999999997E-2</v>
      </c>
      <c r="F12" s="83">
        <v>5.8000000000000003E-2</v>
      </c>
      <c r="G12" s="83">
        <v>4.7E-2</v>
      </c>
      <c r="H12" s="83">
        <v>0.05</v>
      </c>
      <c r="I12" s="83">
        <v>4.8000000000000001E-2</v>
      </c>
      <c r="J12" s="83">
        <v>4.4999999999999998E-2</v>
      </c>
      <c r="K12" s="83">
        <v>4.2999999999999997E-2</v>
      </c>
      <c r="L12" s="83">
        <v>4.1000000000000002E-2</v>
      </c>
      <c r="M12" s="83">
        <v>0.04</v>
      </c>
      <c r="N12" s="83">
        <v>3.9E-2</v>
      </c>
      <c r="O12" s="83">
        <v>3.7999999999999999E-2</v>
      </c>
      <c r="P12" s="83">
        <v>3.6999999999999998E-2</v>
      </c>
      <c r="Q12" s="83">
        <v>3.5999999999999997E-2</v>
      </c>
      <c r="R12" s="6" t="s">
        <v>40</v>
      </c>
    </row>
    <row r="13" spans="1:18" ht="18" customHeight="1" x14ac:dyDescent="0.3">
      <c r="A13" s="38" t="s">
        <v>41</v>
      </c>
      <c r="B13" s="2"/>
      <c r="C13" s="2"/>
      <c r="D13" s="83">
        <v>5.8000000000000003E-2</v>
      </c>
      <c r="E13" s="83">
        <v>5.8999999999999997E-2</v>
      </c>
      <c r="F13" s="83">
        <v>7.9000000000000001E-2</v>
      </c>
      <c r="G13" s="83">
        <v>6.4000000000000001E-2</v>
      </c>
      <c r="H13" s="83">
        <v>7.0000000000000007E-2</v>
      </c>
      <c r="I13" s="83">
        <v>6.8000000000000005E-2</v>
      </c>
      <c r="J13" s="83">
        <v>6.5000000000000002E-2</v>
      </c>
      <c r="K13" s="83">
        <v>6.3E-2</v>
      </c>
      <c r="L13" s="83">
        <v>0.06</v>
      </c>
      <c r="M13" s="83">
        <v>5.8000000000000003E-2</v>
      </c>
      <c r="N13" s="83">
        <v>5.6000000000000001E-2</v>
      </c>
      <c r="O13" s="83">
        <v>5.5E-2</v>
      </c>
      <c r="P13" s="83">
        <v>5.3999999999999999E-2</v>
      </c>
      <c r="Q13" s="83">
        <v>5.2999999999999999E-2</v>
      </c>
      <c r="R13" s="6" t="s">
        <v>42</v>
      </c>
    </row>
    <row r="14" spans="1:18" ht="18" customHeight="1" x14ac:dyDescent="0.3">
      <c r="A14" s="90" t="s">
        <v>43</v>
      </c>
      <c r="B14" s="15"/>
      <c r="C14" s="15"/>
      <c r="D14" s="84">
        <f t="shared" ref="D14:Q14" si="2">D11-D12-D13</f>
        <v>1.3000000000000005E-2</v>
      </c>
      <c r="E14" s="84">
        <f t="shared" si="2"/>
        <v>0.10499999999999998</v>
      </c>
      <c r="F14" s="84">
        <f t="shared" si="2"/>
        <v>0.30999999999999994</v>
      </c>
      <c r="G14" s="84">
        <f t="shared" si="2"/>
        <v>0.18600000000000005</v>
      </c>
      <c r="H14" s="84">
        <f t="shared" si="2"/>
        <v>0.16000000000000003</v>
      </c>
      <c r="I14" s="84">
        <f t="shared" si="2"/>
        <v>0.17400000000000004</v>
      </c>
      <c r="J14" s="84">
        <f t="shared" si="2"/>
        <v>0.19000000000000006</v>
      </c>
      <c r="K14" s="84">
        <f t="shared" si="2"/>
        <v>0.19900000000000007</v>
      </c>
      <c r="L14" s="84">
        <f t="shared" si="2"/>
        <v>0.20900000000000007</v>
      </c>
      <c r="M14" s="84">
        <f t="shared" si="2"/>
        <v>0.21400000000000008</v>
      </c>
      <c r="N14" s="84">
        <f t="shared" si="2"/>
        <v>0.21999999999999997</v>
      </c>
      <c r="O14" s="84">
        <f t="shared" si="2"/>
        <v>0.22399999999999998</v>
      </c>
      <c r="P14" s="84">
        <f t="shared" si="2"/>
        <v>0.22899999999999998</v>
      </c>
      <c r="Q14" s="84">
        <f t="shared" si="2"/>
        <v>0.23299999999999998</v>
      </c>
      <c r="R14" s="80" t="s">
        <v>44</v>
      </c>
    </row>
    <row r="15" spans="1:18" ht="18" customHeight="1" x14ac:dyDescent="0.3">
      <c r="A15" s="38" t="s">
        <v>45</v>
      </c>
      <c r="B15" s="2"/>
      <c r="C15" s="2"/>
      <c r="D15" s="83">
        <v>2.7E-2</v>
      </c>
      <c r="E15" s="83">
        <v>8.9999999999999993E-3</v>
      </c>
      <c r="F15" s="83">
        <v>1.6E-2</v>
      </c>
      <c r="G15" s="83">
        <v>1.2999999999999999E-2</v>
      </c>
      <c r="H15" s="83">
        <v>1.7999999999999999E-2</v>
      </c>
      <c r="I15" s="83">
        <v>0.02</v>
      </c>
      <c r="J15" s="83">
        <v>2.1999999999999999E-2</v>
      </c>
      <c r="K15" s="83">
        <v>2.1999999999999999E-2</v>
      </c>
      <c r="L15" s="83">
        <v>2.1000000000000001E-2</v>
      </c>
      <c r="M15" s="83">
        <v>0.02</v>
      </c>
      <c r="N15" s="83">
        <v>1.9E-2</v>
      </c>
      <c r="O15" s="83">
        <v>1.7999999999999999E-2</v>
      </c>
      <c r="P15" s="83">
        <v>1.7999999999999999E-2</v>
      </c>
      <c r="Q15" s="83">
        <v>1.7000000000000001E-2</v>
      </c>
      <c r="R15" s="6" t="s">
        <v>46</v>
      </c>
    </row>
    <row r="16" spans="1:18" ht="18" customHeight="1" x14ac:dyDescent="0.3">
      <c r="A16" s="38" t="s">
        <v>47</v>
      </c>
      <c r="B16" s="2"/>
      <c r="C16" s="2"/>
      <c r="D16" s="83">
        <v>0.1</v>
      </c>
      <c r="E16" s="83">
        <v>0.115</v>
      </c>
      <c r="F16" s="83">
        <v>0.11</v>
      </c>
      <c r="G16" s="83">
        <v>0.105</v>
      </c>
      <c r="H16" s="83">
        <v>0.105</v>
      </c>
      <c r="I16" s="83">
        <v>0.1</v>
      </c>
      <c r="J16" s="83">
        <v>9.5000000000000001E-2</v>
      </c>
      <c r="K16" s="83">
        <v>9.5000000000000001E-2</v>
      </c>
      <c r="L16" s="83">
        <v>0.09</v>
      </c>
      <c r="M16" s="83">
        <v>0.09</v>
      </c>
      <c r="N16" s="83">
        <v>8.7999999999999995E-2</v>
      </c>
      <c r="O16" s="83">
        <v>8.7999999999999995E-2</v>
      </c>
      <c r="P16" s="83">
        <v>8.5000000000000006E-2</v>
      </c>
      <c r="Q16" s="83">
        <v>8.5000000000000006E-2</v>
      </c>
      <c r="R16" s="6" t="s">
        <v>48</v>
      </c>
    </row>
    <row r="17" spans="1:18" ht="18" customHeight="1" x14ac:dyDescent="0.3">
      <c r="A17" s="38" t="s">
        <v>49</v>
      </c>
      <c r="B17" s="2"/>
      <c r="C17" s="2"/>
      <c r="D17" s="83">
        <v>0.15</v>
      </c>
      <c r="E17" s="83">
        <v>0.25800000000000001</v>
      </c>
      <c r="F17" s="83">
        <v>0.252</v>
      </c>
      <c r="G17" s="83">
        <v>0.248</v>
      </c>
      <c r="H17" s="83">
        <v>0.252</v>
      </c>
      <c r="I17" s="83">
        <v>0.252</v>
      </c>
      <c r="J17" s="83">
        <v>0.252</v>
      </c>
      <c r="K17" s="83">
        <v>0.252</v>
      </c>
      <c r="L17" s="83">
        <v>0.252</v>
      </c>
      <c r="M17" s="83">
        <v>0.252</v>
      </c>
      <c r="N17" s="83">
        <v>0.252</v>
      </c>
      <c r="O17" s="83">
        <v>0.252</v>
      </c>
      <c r="P17" s="83">
        <v>0.252</v>
      </c>
      <c r="Q17" s="83">
        <v>0.252</v>
      </c>
      <c r="R17" s="6" t="s">
        <v>50</v>
      </c>
    </row>
    <row r="18" spans="1:18" ht="18" customHeight="1" x14ac:dyDescent="0.3">
      <c r="A18" s="38"/>
      <c r="B18" s="2"/>
      <c r="C18" s="2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2"/>
    </row>
    <row r="19" spans="1:18" ht="19.95" customHeight="1" x14ac:dyDescent="0.3">
      <c r="A19" s="40" t="s">
        <v>51</v>
      </c>
      <c r="B19" s="14"/>
      <c r="C19" s="14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14"/>
    </row>
    <row r="20" spans="1:18" ht="18" customHeight="1" x14ac:dyDescent="0.3">
      <c r="A20" s="38" t="s">
        <v>52</v>
      </c>
      <c r="B20" s="2"/>
      <c r="C20" s="2"/>
      <c r="D20" s="85">
        <v>210</v>
      </c>
      <c r="E20" s="85">
        <v>167</v>
      </c>
      <c r="F20" s="85">
        <v>185</v>
      </c>
      <c r="G20" s="85">
        <v>170</v>
      </c>
      <c r="H20" s="85">
        <v>155</v>
      </c>
      <c r="I20" s="85">
        <v>140</v>
      </c>
      <c r="J20" s="85">
        <v>130</v>
      </c>
      <c r="K20" s="85">
        <v>120</v>
      </c>
      <c r="L20" s="85">
        <v>115</v>
      </c>
      <c r="M20" s="85">
        <v>110</v>
      </c>
      <c r="N20" s="85">
        <v>105</v>
      </c>
      <c r="O20" s="85">
        <v>100</v>
      </c>
      <c r="P20" s="85">
        <v>95</v>
      </c>
      <c r="Q20" s="85">
        <v>90</v>
      </c>
      <c r="R20" s="6" t="s">
        <v>53</v>
      </c>
    </row>
    <row r="21" spans="1:18" ht="18" customHeight="1" x14ac:dyDescent="0.3">
      <c r="A21" s="38" t="s">
        <v>54</v>
      </c>
      <c r="B21" s="2"/>
      <c r="C21" s="2"/>
      <c r="D21" s="85">
        <v>28</v>
      </c>
      <c r="E21" s="85">
        <v>33</v>
      </c>
      <c r="F21" s="85">
        <v>35</v>
      </c>
      <c r="G21" s="85">
        <v>30</v>
      </c>
      <c r="H21" s="85">
        <v>32</v>
      </c>
      <c r="I21" s="85">
        <v>30</v>
      </c>
      <c r="J21" s="85">
        <v>28</v>
      </c>
      <c r="K21" s="85">
        <v>27</v>
      </c>
      <c r="L21" s="85">
        <v>26</v>
      </c>
      <c r="M21" s="85">
        <v>25</v>
      </c>
      <c r="N21" s="85">
        <v>25</v>
      </c>
      <c r="O21" s="85">
        <v>24</v>
      </c>
      <c r="P21" s="85">
        <v>24</v>
      </c>
      <c r="Q21" s="85">
        <v>23</v>
      </c>
      <c r="R21" s="6" t="s">
        <v>55</v>
      </c>
    </row>
    <row r="22" spans="1:18" ht="18" customHeight="1" x14ac:dyDescent="0.3">
      <c r="A22" s="38" t="s">
        <v>56</v>
      </c>
      <c r="B22" s="2"/>
      <c r="C22" s="2"/>
      <c r="D22" s="85">
        <v>85</v>
      </c>
      <c r="E22" s="85">
        <v>95</v>
      </c>
      <c r="F22" s="85">
        <v>100</v>
      </c>
      <c r="G22" s="85">
        <v>90</v>
      </c>
      <c r="H22" s="85">
        <v>95</v>
      </c>
      <c r="I22" s="85">
        <v>90</v>
      </c>
      <c r="J22" s="85">
        <v>85</v>
      </c>
      <c r="K22" s="85">
        <v>80</v>
      </c>
      <c r="L22" s="85">
        <v>78</v>
      </c>
      <c r="M22" s="85">
        <v>75</v>
      </c>
      <c r="N22" s="85">
        <v>73</v>
      </c>
      <c r="O22" s="85">
        <v>70</v>
      </c>
      <c r="P22" s="85">
        <v>68</v>
      </c>
      <c r="Q22" s="85">
        <v>65</v>
      </c>
      <c r="R22" s="6" t="s">
        <v>57</v>
      </c>
    </row>
    <row r="23" spans="1:18" ht="18" customHeight="1" x14ac:dyDescent="0.3">
      <c r="A23" s="45" t="s">
        <v>382</v>
      </c>
      <c r="B23" s="2"/>
      <c r="C23" s="2"/>
      <c r="D23" s="83">
        <f>'Balance Sheet'!C15/'Income Statement'!C5</f>
        <v>0.48815165876777261</v>
      </c>
      <c r="E23" s="83">
        <f>'Balance Sheet'!D15/'Income Statement'!D5</f>
        <v>4.5490822027134899E-2</v>
      </c>
      <c r="F23" s="83">
        <f>'Balance Sheet'!E15/'Income Statement'!E5</f>
        <v>3.0127462340672092E-2</v>
      </c>
      <c r="G23" s="83">
        <f>'Balance Sheet'!F15/'Income Statement'!F5</f>
        <v>3.7938665823585203E-2</v>
      </c>
      <c r="H23" s="134">
        <v>0.03</v>
      </c>
      <c r="I23" s="134">
        <v>2.4E-2</v>
      </c>
      <c r="J23" s="134">
        <v>1.9E-2</v>
      </c>
      <c r="K23" s="134">
        <v>1.6E-2</v>
      </c>
      <c r="L23" s="134">
        <v>1.4E-2</v>
      </c>
      <c r="M23" s="134">
        <v>1.2E-2</v>
      </c>
      <c r="N23" s="134">
        <v>1.0999999999999999E-2</v>
      </c>
      <c r="O23" s="134">
        <v>0.01</v>
      </c>
      <c r="P23" s="134">
        <v>8.9999999999999993E-3</v>
      </c>
      <c r="Q23" s="134">
        <v>8.0000000000000002E-3</v>
      </c>
      <c r="R23" s="2"/>
    </row>
    <row r="24" spans="1:18" ht="18" customHeight="1" x14ac:dyDescent="0.3">
      <c r="A24" s="45" t="s">
        <v>383</v>
      </c>
      <c r="B24" s="2"/>
      <c r="C24" s="2"/>
      <c r="D24" s="83">
        <f>'Balance Sheet'!C35/'Income Statement'!C5</f>
        <v>0.1895734597156398</v>
      </c>
      <c r="E24" s="83">
        <f>'Balance Sheet'!D35/'Income Statement'!D5</f>
        <v>7.9808459696727854E-2</v>
      </c>
      <c r="F24" s="83">
        <f>'Balance Sheet'!E35/'Income Statement'!E5</f>
        <v>6.9524913093858637E-2</v>
      </c>
      <c r="G24" s="83">
        <f>'Balance Sheet'!F35/'Income Statement'!F5</f>
        <v>0.12171988618400252</v>
      </c>
      <c r="H24" s="134">
        <v>3.7999999999999999E-2</v>
      </c>
      <c r="I24" s="134">
        <v>0.03</v>
      </c>
      <c r="J24" s="134">
        <v>2.4E-2</v>
      </c>
      <c r="K24" s="134">
        <v>1.9E-2</v>
      </c>
      <c r="L24" s="134">
        <v>1.6E-2</v>
      </c>
      <c r="M24" s="134">
        <v>1.4E-2</v>
      </c>
      <c r="N24" s="134">
        <v>1.2E-2</v>
      </c>
      <c r="O24" s="134">
        <v>1.0999999999999999E-2</v>
      </c>
      <c r="P24" s="134">
        <v>0.01</v>
      </c>
      <c r="Q24" s="134">
        <v>8.9999999999999993E-3</v>
      </c>
      <c r="R24" s="2"/>
    </row>
    <row r="25" spans="1:18" ht="19.95" customHeight="1" x14ac:dyDescent="0.3">
      <c r="A25" s="40" t="s">
        <v>58</v>
      </c>
      <c r="B25" s="14"/>
      <c r="C25" s="14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14"/>
    </row>
    <row r="26" spans="1:18" ht="18" customHeight="1" x14ac:dyDescent="0.3">
      <c r="A26" s="38" t="s">
        <v>59</v>
      </c>
      <c r="B26" s="2"/>
      <c r="C26" s="2"/>
      <c r="D26" s="81">
        <v>4</v>
      </c>
      <c r="E26" s="81">
        <v>3.1</v>
      </c>
      <c r="F26" s="81">
        <v>5.5</v>
      </c>
      <c r="G26" s="81">
        <v>23</v>
      </c>
      <c r="H26" s="81">
        <v>55</v>
      </c>
      <c r="I26" s="81">
        <v>45</v>
      </c>
      <c r="J26" s="81">
        <v>35</v>
      </c>
      <c r="K26" s="81">
        <v>30</v>
      </c>
      <c r="L26" s="81">
        <v>28</v>
      </c>
      <c r="M26" s="81">
        <v>30</v>
      </c>
      <c r="N26" s="81">
        <v>32</v>
      </c>
      <c r="O26" s="81">
        <v>35</v>
      </c>
      <c r="P26" s="81">
        <v>38</v>
      </c>
      <c r="Q26" s="81">
        <v>40</v>
      </c>
      <c r="R26" s="6" t="s">
        <v>60</v>
      </c>
    </row>
    <row r="27" spans="1:18" ht="18" customHeight="1" x14ac:dyDescent="0.3">
      <c r="A27" s="42" t="s">
        <v>61</v>
      </c>
      <c r="B27" s="18"/>
      <c r="C27" s="18"/>
      <c r="D27" s="82">
        <f t="shared" ref="D27:Q27" si="3">D26/D6</f>
        <v>9.4786729857819899E-2</v>
      </c>
      <c r="E27" s="82">
        <f t="shared" si="3"/>
        <v>2.4740622505985636E-2</v>
      </c>
      <c r="F27" s="82">
        <f t="shared" si="3"/>
        <v>3.1865585168018538E-2</v>
      </c>
      <c r="G27" s="82">
        <f t="shared" si="3"/>
        <v>7.2715776161871637E-2</v>
      </c>
      <c r="H27" s="82">
        <f t="shared" si="3"/>
        <v>0.11578947368421053</v>
      </c>
      <c r="I27" s="82">
        <f t="shared" si="3"/>
        <v>6.7669172932330823E-2</v>
      </c>
      <c r="J27" s="82">
        <f t="shared" si="3"/>
        <v>3.7634408602150539E-2</v>
      </c>
      <c r="K27" s="82">
        <f t="shared" si="3"/>
        <v>2.3904382470119521E-2</v>
      </c>
      <c r="L27" s="82">
        <f t="shared" si="3"/>
        <v>1.7177914110429449E-2</v>
      </c>
      <c r="M27" s="82">
        <f t="shared" si="3"/>
        <v>1.4705882352941176E-2</v>
      </c>
      <c r="N27" s="82">
        <f t="shared" si="3"/>
        <v>1.3061224489795919E-2</v>
      </c>
      <c r="O27" s="82">
        <f t="shared" si="3"/>
        <v>1.2110726643598616E-2</v>
      </c>
      <c r="P27" s="82">
        <f t="shared" si="3"/>
        <v>1.1343283582089553E-2</v>
      </c>
      <c r="Q27" s="82">
        <f t="shared" si="3"/>
        <v>1.0471204188481676E-2</v>
      </c>
      <c r="R27" s="18" t="s">
        <v>62</v>
      </c>
    </row>
    <row r="28" spans="1:18" ht="18" customHeight="1" x14ac:dyDescent="0.3">
      <c r="A28" s="38"/>
      <c r="B28" s="2"/>
      <c r="C28" s="2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2"/>
    </row>
    <row r="29" spans="1:18" ht="19.95" customHeight="1" x14ac:dyDescent="0.3">
      <c r="A29" s="40" t="s">
        <v>63</v>
      </c>
      <c r="B29" s="14"/>
      <c r="C29" s="14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4"/>
    </row>
    <row r="30" spans="1:18" ht="18" customHeight="1" x14ac:dyDescent="0.3">
      <c r="A30" s="38" t="s">
        <v>64</v>
      </c>
      <c r="B30" s="2"/>
      <c r="C30" s="2"/>
      <c r="D30" s="83">
        <v>6.7000000000000004E-2</v>
      </c>
      <c r="E30" s="86" t="s">
        <v>65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2"/>
    </row>
    <row r="31" spans="1:18" ht="18" customHeight="1" x14ac:dyDescent="0.3">
      <c r="A31" s="38" t="s">
        <v>66</v>
      </c>
      <c r="B31" s="2"/>
      <c r="C31" s="2"/>
      <c r="D31" s="83">
        <v>7.0000000000000007E-2</v>
      </c>
      <c r="E31" s="86" t="s">
        <v>67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"/>
    </row>
    <row r="32" spans="1:18" ht="18" customHeight="1" x14ac:dyDescent="0.3">
      <c r="A32" s="38" t="s">
        <v>68</v>
      </c>
      <c r="B32" s="2"/>
      <c r="C32" s="2"/>
      <c r="D32" s="81">
        <v>1.4</v>
      </c>
      <c r="E32" s="86" t="s">
        <v>69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2"/>
    </row>
    <row r="33" spans="1:18" ht="18" customHeight="1" x14ac:dyDescent="0.3">
      <c r="A33" s="38" t="s">
        <v>70</v>
      </c>
      <c r="B33" s="2"/>
      <c r="C33" s="2"/>
      <c r="D33" s="83">
        <v>0.03</v>
      </c>
      <c r="E33" s="86" t="s">
        <v>71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2"/>
    </row>
    <row r="34" spans="1:18" ht="18" customHeight="1" x14ac:dyDescent="0.3">
      <c r="A34" s="38" t="s">
        <v>72</v>
      </c>
      <c r="B34" s="2"/>
      <c r="C34" s="2"/>
      <c r="D34" s="83">
        <f>D30+D32*D31+D33</f>
        <v>0.19500000000000001</v>
      </c>
      <c r="E34" s="86" t="s">
        <v>376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2"/>
    </row>
    <row r="35" spans="1:18" ht="18" customHeight="1" x14ac:dyDescent="0.3">
      <c r="A35" s="38" t="s">
        <v>73</v>
      </c>
      <c r="B35" s="2"/>
      <c r="C35" s="2"/>
      <c r="D35" s="83">
        <v>0.105</v>
      </c>
      <c r="E35" s="86" t="s">
        <v>74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2"/>
    </row>
    <row r="36" spans="1:18" ht="18" customHeight="1" x14ac:dyDescent="0.3">
      <c r="A36" s="38" t="s">
        <v>75</v>
      </c>
      <c r="B36" s="2"/>
      <c r="C36" s="2"/>
      <c r="D36" s="83">
        <v>0.252</v>
      </c>
      <c r="E36" s="86" t="s">
        <v>76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2"/>
    </row>
    <row r="37" spans="1:18" ht="18" customHeight="1" x14ac:dyDescent="0.3">
      <c r="A37" s="38" t="s">
        <v>77</v>
      </c>
      <c r="B37" s="2"/>
      <c r="C37" s="2"/>
      <c r="D37" s="83">
        <f>D35*(1-D36)</f>
        <v>7.8539999999999999E-2</v>
      </c>
      <c r="E37" s="86" t="s">
        <v>377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"/>
    </row>
    <row r="38" spans="1:18" ht="18" customHeight="1" x14ac:dyDescent="0.3">
      <c r="A38" s="38" t="s">
        <v>372</v>
      </c>
      <c r="B38" s="2"/>
      <c r="C38" s="2"/>
      <c r="D38" s="83">
        <f>'Balance Sheet'!F24/('Balance Sheet'!F24+'Balance Sheet'!F28+'Balance Sheet'!F33)</f>
        <v>0.6855775803144224</v>
      </c>
      <c r="E38" s="86" t="s">
        <v>374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"/>
    </row>
    <row r="39" spans="1:18" ht="18" customHeight="1" x14ac:dyDescent="0.3">
      <c r="A39" s="38" t="s">
        <v>373</v>
      </c>
      <c r="B39" s="2"/>
      <c r="C39" s="2"/>
      <c r="D39" s="83">
        <f>('Balance Sheet'!F28+'Balance Sheet'!F33)/('Balance Sheet'!F24+'Balance Sheet'!F28+'Balance Sheet'!F33)</f>
        <v>0.31442241968557755</v>
      </c>
      <c r="E39" s="86" t="s">
        <v>375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2"/>
    </row>
    <row r="40" spans="1:18" ht="18" customHeight="1" x14ac:dyDescent="0.3">
      <c r="A40" s="39" t="s">
        <v>78</v>
      </c>
      <c r="B40" s="15"/>
      <c r="C40" s="15"/>
      <c r="D40" s="87">
        <f>D38*D34+D39*D37</f>
        <v>0.15838236500341765</v>
      </c>
      <c r="E40" s="88" t="s">
        <v>378</v>
      </c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15"/>
    </row>
    <row r="41" spans="1:18" ht="18" customHeight="1" x14ac:dyDescent="0.3">
      <c r="A41" s="38" t="s">
        <v>79</v>
      </c>
      <c r="B41" s="2"/>
      <c r="C41" s="2"/>
      <c r="D41" s="83">
        <v>5.5E-2</v>
      </c>
      <c r="E41" s="86" t="s">
        <v>80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"/>
    </row>
    <row r="42" spans="1:18" ht="18" customHeight="1" x14ac:dyDescent="0.3">
      <c r="A42" s="38"/>
      <c r="B42" s="2"/>
      <c r="C42" s="2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2"/>
    </row>
    <row r="43" spans="1:18" ht="19.95" customHeight="1" x14ac:dyDescent="0.3">
      <c r="A43" s="40" t="s">
        <v>81</v>
      </c>
      <c r="B43" s="14"/>
      <c r="C43" s="14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14"/>
    </row>
    <row r="44" spans="1:18" ht="18" customHeight="1" x14ac:dyDescent="0.3">
      <c r="A44" s="37" t="s">
        <v>82</v>
      </c>
      <c r="B44" s="2"/>
      <c r="C44" s="2"/>
      <c r="D44" s="81">
        <v>42.2</v>
      </c>
      <c r="E44" s="81">
        <v>125.3</v>
      </c>
      <c r="F44" s="81">
        <v>172.6</v>
      </c>
      <c r="G44" s="81">
        <v>316.3</v>
      </c>
      <c r="H44" s="72">
        <v>500</v>
      </c>
      <c r="I44" s="72">
        <v>725</v>
      </c>
      <c r="J44" s="72">
        <v>1050</v>
      </c>
      <c r="K44" s="72">
        <v>1470</v>
      </c>
      <c r="L44" s="72">
        <v>1960</v>
      </c>
      <c r="M44" s="72">
        <v>2500</v>
      </c>
      <c r="N44" s="72">
        <v>3050</v>
      </c>
      <c r="O44" s="72">
        <v>3600</v>
      </c>
      <c r="P44" s="72">
        <v>4150</v>
      </c>
      <c r="Q44" s="72">
        <v>4700</v>
      </c>
      <c r="R44" s="6" t="s">
        <v>83</v>
      </c>
    </row>
    <row r="45" spans="1:18" ht="18" customHeight="1" x14ac:dyDescent="0.3">
      <c r="A45" s="37" t="s">
        <v>84</v>
      </c>
      <c r="B45" s="2"/>
      <c r="C45" s="2"/>
      <c r="D45" s="81">
        <v>42.2</v>
      </c>
      <c r="E45" s="81">
        <v>125.3</v>
      </c>
      <c r="F45" s="81">
        <v>172.6</v>
      </c>
      <c r="G45" s="81">
        <v>316.3</v>
      </c>
      <c r="H45" s="72">
        <v>475</v>
      </c>
      <c r="I45" s="72">
        <v>665</v>
      </c>
      <c r="J45" s="72">
        <v>930</v>
      </c>
      <c r="K45" s="72">
        <v>1255</v>
      </c>
      <c r="L45" s="72">
        <v>1630</v>
      </c>
      <c r="M45" s="72">
        <v>2040</v>
      </c>
      <c r="N45" s="72">
        <v>2450</v>
      </c>
      <c r="O45" s="72">
        <v>2890</v>
      </c>
      <c r="P45" s="72">
        <v>3350</v>
      </c>
      <c r="Q45" s="72">
        <v>3820</v>
      </c>
      <c r="R45" s="6" t="s">
        <v>85</v>
      </c>
    </row>
    <row r="46" spans="1:18" ht="18" customHeight="1" x14ac:dyDescent="0.3">
      <c r="A46" s="37" t="s">
        <v>86</v>
      </c>
      <c r="B46" s="2"/>
      <c r="C46" s="2"/>
      <c r="D46" s="81">
        <v>42.2</v>
      </c>
      <c r="E46" s="81">
        <v>125.3</v>
      </c>
      <c r="F46" s="81">
        <v>172.6</v>
      </c>
      <c r="G46" s="81">
        <v>316.3</v>
      </c>
      <c r="H46" s="72">
        <v>440</v>
      </c>
      <c r="I46" s="72">
        <v>575</v>
      </c>
      <c r="J46" s="72">
        <v>735</v>
      </c>
      <c r="K46" s="72">
        <v>920</v>
      </c>
      <c r="L46" s="72">
        <v>1105</v>
      </c>
      <c r="M46" s="72">
        <v>1290</v>
      </c>
      <c r="N46" s="72">
        <v>1470</v>
      </c>
      <c r="O46" s="72">
        <v>1640</v>
      </c>
      <c r="P46" s="72">
        <v>1810</v>
      </c>
      <c r="Q46" s="72">
        <v>1975</v>
      </c>
      <c r="R46" s="6" t="s">
        <v>87</v>
      </c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BE98-53B0-4551-9DA9-8FA971EDDF7C}">
  <dimension ref="A1:G18"/>
  <sheetViews>
    <sheetView showGridLines="0" workbookViewId="0"/>
  </sheetViews>
  <sheetFormatPr defaultRowHeight="14.4" x14ac:dyDescent="0.3"/>
  <cols>
    <col min="1" max="1" width="42.5546875" customWidth="1"/>
    <col min="2" max="2" width="29.6640625" customWidth="1"/>
    <col min="3" max="3" width="25.88671875" customWidth="1"/>
    <col min="4" max="4" width="33.33203125" customWidth="1"/>
    <col min="5" max="5" width="24.109375" customWidth="1"/>
    <col min="6" max="6" width="16.6640625" customWidth="1"/>
    <col min="7" max="7" width="48.109375" customWidth="1"/>
  </cols>
  <sheetData>
    <row r="1" spans="1:7" ht="28.05" customHeight="1" x14ac:dyDescent="0.3">
      <c r="A1" s="10" t="s">
        <v>190</v>
      </c>
      <c r="B1" s="10"/>
      <c r="C1" s="10"/>
      <c r="D1" s="10"/>
      <c r="E1" s="10"/>
      <c r="F1" s="10"/>
      <c r="G1" s="10"/>
    </row>
    <row r="2" spans="1:7" ht="18" customHeight="1" x14ac:dyDescent="0.3">
      <c r="A2" s="2"/>
      <c r="B2" s="2"/>
      <c r="C2" s="2"/>
      <c r="D2" s="2"/>
      <c r="E2" s="2"/>
      <c r="F2" s="2"/>
      <c r="G2" s="2"/>
    </row>
    <row r="3" spans="1:7" ht="22.05" customHeight="1" x14ac:dyDescent="0.3">
      <c r="A3" s="62" t="s">
        <v>191</v>
      </c>
      <c r="B3" s="62" t="s">
        <v>192</v>
      </c>
      <c r="C3" s="62" t="s">
        <v>193</v>
      </c>
      <c r="D3" s="62" t="s">
        <v>194</v>
      </c>
      <c r="E3" s="62" t="s">
        <v>195</v>
      </c>
      <c r="F3" s="62" t="s">
        <v>196</v>
      </c>
      <c r="G3" s="62" t="s">
        <v>197</v>
      </c>
    </row>
    <row r="4" spans="1:7" ht="36" customHeight="1" x14ac:dyDescent="0.3">
      <c r="A4" s="131" t="s">
        <v>198</v>
      </c>
      <c r="B4" s="132" t="s">
        <v>199</v>
      </c>
      <c r="C4" s="132" t="s">
        <v>200</v>
      </c>
      <c r="D4" s="132" t="s">
        <v>201</v>
      </c>
      <c r="E4" s="133" t="s">
        <v>202</v>
      </c>
      <c r="F4" s="132" t="s">
        <v>203</v>
      </c>
      <c r="G4" s="132" t="s">
        <v>204</v>
      </c>
    </row>
    <row r="5" spans="1:7" ht="36" customHeight="1" x14ac:dyDescent="0.3">
      <c r="A5" s="127" t="s">
        <v>205</v>
      </c>
      <c r="B5" s="128" t="s">
        <v>206</v>
      </c>
      <c r="C5" s="128" t="s">
        <v>207</v>
      </c>
      <c r="D5" s="128" t="s">
        <v>208</v>
      </c>
      <c r="E5" s="129" t="s">
        <v>202</v>
      </c>
      <c r="F5" s="128" t="s">
        <v>203</v>
      </c>
      <c r="G5" s="128" t="s">
        <v>209</v>
      </c>
    </row>
    <row r="6" spans="1:7" ht="36" customHeight="1" x14ac:dyDescent="0.3">
      <c r="A6" s="131" t="s">
        <v>210</v>
      </c>
      <c r="B6" s="132" t="s">
        <v>211</v>
      </c>
      <c r="C6" s="132" t="s">
        <v>212</v>
      </c>
      <c r="D6" s="132" t="s">
        <v>213</v>
      </c>
      <c r="E6" s="133" t="s">
        <v>214</v>
      </c>
      <c r="F6" s="132" t="s">
        <v>203</v>
      </c>
      <c r="G6" s="132" t="s">
        <v>215</v>
      </c>
    </row>
    <row r="7" spans="1:7" ht="36" customHeight="1" x14ac:dyDescent="0.3">
      <c r="A7" s="127" t="s">
        <v>216</v>
      </c>
      <c r="B7" s="128" t="s">
        <v>217</v>
      </c>
      <c r="C7" s="128" t="s">
        <v>218</v>
      </c>
      <c r="D7" s="128" t="s">
        <v>219</v>
      </c>
      <c r="E7" s="129" t="s">
        <v>220</v>
      </c>
      <c r="F7" s="128" t="s">
        <v>221</v>
      </c>
      <c r="G7" s="128" t="s">
        <v>222</v>
      </c>
    </row>
    <row r="8" spans="1:7" ht="36" customHeight="1" x14ac:dyDescent="0.3">
      <c r="A8" s="131" t="s">
        <v>223</v>
      </c>
      <c r="B8" s="132" t="s">
        <v>224</v>
      </c>
      <c r="C8" s="132" t="s">
        <v>225</v>
      </c>
      <c r="D8" s="132" t="s">
        <v>226</v>
      </c>
      <c r="E8" s="133" t="s">
        <v>227</v>
      </c>
      <c r="F8" s="132" t="s">
        <v>203</v>
      </c>
      <c r="G8" s="132" t="s">
        <v>228</v>
      </c>
    </row>
    <row r="9" spans="1:7" ht="36" customHeight="1" x14ac:dyDescent="0.3">
      <c r="A9" s="127" t="s">
        <v>229</v>
      </c>
      <c r="B9" s="128" t="s">
        <v>230</v>
      </c>
      <c r="C9" s="128" t="s">
        <v>231</v>
      </c>
      <c r="D9" s="128" t="s">
        <v>232</v>
      </c>
      <c r="E9" s="129" t="s">
        <v>233</v>
      </c>
      <c r="F9" s="128" t="s">
        <v>221</v>
      </c>
      <c r="G9" s="128" t="s">
        <v>234</v>
      </c>
    </row>
    <row r="10" spans="1:7" ht="36" customHeight="1" x14ac:dyDescent="0.3">
      <c r="A10" s="131" t="s">
        <v>235</v>
      </c>
      <c r="B10" s="132" t="s">
        <v>236</v>
      </c>
      <c r="C10" s="132" t="s">
        <v>237</v>
      </c>
      <c r="D10" s="132" t="s">
        <v>238</v>
      </c>
      <c r="E10" s="133" t="s">
        <v>233</v>
      </c>
      <c r="F10" s="132" t="s">
        <v>239</v>
      </c>
      <c r="G10" s="132" t="s">
        <v>240</v>
      </c>
    </row>
    <row r="11" spans="1:7" ht="36" customHeight="1" x14ac:dyDescent="0.3">
      <c r="A11" s="127" t="s">
        <v>241</v>
      </c>
      <c r="B11" s="128" t="s">
        <v>242</v>
      </c>
      <c r="C11" s="128" t="s">
        <v>243</v>
      </c>
      <c r="D11" s="128" t="s">
        <v>244</v>
      </c>
      <c r="E11" s="129" t="s">
        <v>245</v>
      </c>
      <c r="F11" s="128" t="s">
        <v>221</v>
      </c>
      <c r="G11" s="128" t="s">
        <v>246</v>
      </c>
    </row>
    <row r="12" spans="1:7" ht="36" customHeight="1" x14ac:dyDescent="0.3">
      <c r="A12" s="131" t="s">
        <v>247</v>
      </c>
      <c r="B12" s="132" t="s">
        <v>248</v>
      </c>
      <c r="C12" s="132" t="s">
        <v>249</v>
      </c>
      <c r="D12" s="132" t="s">
        <v>250</v>
      </c>
      <c r="E12" s="133" t="s">
        <v>233</v>
      </c>
      <c r="F12" s="132" t="s">
        <v>221</v>
      </c>
      <c r="G12" s="132" t="s">
        <v>251</v>
      </c>
    </row>
    <row r="13" spans="1:7" ht="36" customHeight="1" x14ac:dyDescent="0.3">
      <c r="A13" s="127" t="s">
        <v>252</v>
      </c>
      <c r="B13" s="128" t="s">
        <v>253</v>
      </c>
      <c r="C13" s="128" t="s">
        <v>254</v>
      </c>
      <c r="D13" s="128" t="s">
        <v>255</v>
      </c>
      <c r="E13" s="129" t="s">
        <v>256</v>
      </c>
      <c r="F13" s="128" t="s">
        <v>239</v>
      </c>
      <c r="G13" s="128" t="s">
        <v>257</v>
      </c>
    </row>
    <row r="14" spans="1:7" ht="36" customHeight="1" x14ac:dyDescent="0.3">
      <c r="A14" s="131" t="s">
        <v>258</v>
      </c>
      <c r="B14" s="132" t="s">
        <v>259</v>
      </c>
      <c r="C14" s="132" t="s">
        <v>260</v>
      </c>
      <c r="D14" s="132" t="s">
        <v>261</v>
      </c>
      <c r="E14" s="133" t="s">
        <v>262</v>
      </c>
      <c r="F14" s="132" t="s">
        <v>203</v>
      </c>
      <c r="G14" s="132" t="s">
        <v>263</v>
      </c>
    </row>
    <row r="15" spans="1:7" ht="36" customHeight="1" x14ac:dyDescent="0.3">
      <c r="A15" s="127" t="s">
        <v>264</v>
      </c>
      <c r="B15" s="128" t="s">
        <v>265</v>
      </c>
      <c r="C15" s="128" t="s">
        <v>266</v>
      </c>
      <c r="D15" s="128" t="s">
        <v>267</v>
      </c>
      <c r="E15" s="129" t="s">
        <v>268</v>
      </c>
      <c r="F15" s="128" t="s">
        <v>203</v>
      </c>
      <c r="G15" s="128" t="s">
        <v>269</v>
      </c>
    </row>
    <row r="16" spans="1:7" ht="36" customHeight="1" x14ac:dyDescent="0.3">
      <c r="A16" s="131" t="s">
        <v>270</v>
      </c>
      <c r="B16" s="132" t="s">
        <v>271</v>
      </c>
      <c r="C16" s="132" t="s">
        <v>272</v>
      </c>
      <c r="D16" s="132" t="s">
        <v>273</v>
      </c>
      <c r="E16" s="133" t="s">
        <v>274</v>
      </c>
      <c r="F16" s="132" t="s">
        <v>203</v>
      </c>
      <c r="G16" s="132" t="s">
        <v>275</v>
      </c>
    </row>
    <row r="17" spans="1:7" ht="18" customHeight="1" x14ac:dyDescent="0.3">
      <c r="A17" s="2"/>
      <c r="B17" s="2"/>
      <c r="C17" s="2"/>
      <c r="D17" s="2"/>
      <c r="E17" s="2"/>
      <c r="F17" s="2"/>
      <c r="G17" s="2"/>
    </row>
    <row r="18" spans="1:7" ht="43.2" customHeight="1" x14ac:dyDescent="0.3">
      <c r="A18" s="130" t="s">
        <v>276</v>
      </c>
      <c r="B18" s="160" t="s">
        <v>277</v>
      </c>
      <c r="C18" s="160"/>
      <c r="D18" s="160"/>
      <c r="E18" s="130"/>
      <c r="F18" s="130"/>
      <c r="G18" s="130"/>
    </row>
  </sheetData>
  <mergeCells count="1">
    <mergeCell ref="B18:D18"/>
  </mergeCells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609D-9ACF-4FB5-812A-35726494E833}">
  <dimension ref="A1:Q30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4.44140625" customWidth="1"/>
    <col min="2" max="2" width="3.6640625" customWidth="1"/>
    <col min="3" max="16" width="14.44140625" customWidth="1"/>
  </cols>
  <sheetData>
    <row r="1" spans="1:17" ht="28.05" customHeight="1" x14ac:dyDescent="0.3">
      <c r="A1" s="10" t="s">
        <v>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"/>
    </row>
    <row r="2" spans="1:17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.05" customHeight="1" thickBot="1" x14ac:dyDescent="0.35">
      <c r="A3" s="11"/>
      <c r="B3" s="11"/>
      <c r="C3" s="12" t="s">
        <v>14</v>
      </c>
      <c r="D3" s="12" t="s">
        <v>15</v>
      </c>
      <c r="E3" s="12" t="s">
        <v>16</v>
      </c>
      <c r="F3" s="12" t="s">
        <v>17</v>
      </c>
      <c r="G3" s="13" t="s">
        <v>18</v>
      </c>
      <c r="H3" s="13" t="s">
        <v>19</v>
      </c>
      <c r="I3" s="13" t="s">
        <v>20</v>
      </c>
      <c r="J3" s="13" t="s">
        <v>21</v>
      </c>
      <c r="K3" s="13" t="s">
        <v>22</v>
      </c>
      <c r="L3" s="13" t="s">
        <v>23</v>
      </c>
      <c r="M3" s="13" t="s">
        <v>24</v>
      </c>
      <c r="N3" s="13" t="s">
        <v>25</v>
      </c>
      <c r="O3" s="13" t="s">
        <v>26</v>
      </c>
      <c r="P3" s="13" t="s">
        <v>27</v>
      </c>
      <c r="Q3" s="2"/>
    </row>
    <row r="4" spans="1:17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8" customHeight="1" x14ac:dyDescent="0.3">
      <c r="A5" s="37" t="s">
        <v>30</v>
      </c>
      <c r="B5" s="2"/>
      <c r="C5" s="28">
        <v>42.2</v>
      </c>
      <c r="D5" s="28">
        <v>125.3</v>
      </c>
      <c r="E5" s="28">
        <v>172.6</v>
      </c>
      <c r="F5" s="28">
        <v>316.3</v>
      </c>
      <c r="G5" s="28">
        <f>Assumptions!H6</f>
        <v>475</v>
      </c>
      <c r="H5" s="28">
        <f>Assumptions!I6</f>
        <v>665</v>
      </c>
      <c r="I5" s="28">
        <f>Assumptions!J6</f>
        <v>930</v>
      </c>
      <c r="J5" s="28">
        <f>Assumptions!K6</f>
        <v>1255</v>
      </c>
      <c r="K5" s="28">
        <f>Assumptions!L6</f>
        <v>1630</v>
      </c>
      <c r="L5" s="28">
        <f>Assumptions!M6</f>
        <v>2040</v>
      </c>
      <c r="M5" s="28">
        <f>Assumptions!N6</f>
        <v>2450</v>
      </c>
      <c r="N5" s="28">
        <f>Assumptions!O6</f>
        <v>2890</v>
      </c>
      <c r="O5" s="28">
        <f>Assumptions!P6</f>
        <v>3350</v>
      </c>
      <c r="P5" s="28">
        <f>Assumptions!Q6</f>
        <v>3820</v>
      </c>
      <c r="Q5" s="2"/>
    </row>
    <row r="6" spans="1:17" ht="18" customHeight="1" x14ac:dyDescent="0.3">
      <c r="A6" s="38" t="s">
        <v>89</v>
      </c>
      <c r="B6" s="2"/>
      <c r="C6" s="28">
        <v>0.7</v>
      </c>
      <c r="D6" s="28">
        <v>0.5</v>
      </c>
      <c r="E6" s="28">
        <v>0.8</v>
      </c>
      <c r="F6" s="28">
        <v>2.7</v>
      </c>
      <c r="G6" s="28">
        <f t="shared" ref="G6:P6" si="0">G5*0.005</f>
        <v>2.375</v>
      </c>
      <c r="H6" s="28">
        <f t="shared" si="0"/>
        <v>3.3250000000000002</v>
      </c>
      <c r="I6" s="28">
        <f t="shared" si="0"/>
        <v>4.6500000000000004</v>
      </c>
      <c r="J6" s="28">
        <f t="shared" si="0"/>
        <v>6.2750000000000004</v>
      </c>
      <c r="K6" s="28">
        <f t="shared" si="0"/>
        <v>8.15</v>
      </c>
      <c r="L6" s="28">
        <f t="shared" si="0"/>
        <v>10.200000000000001</v>
      </c>
      <c r="M6" s="28">
        <f t="shared" si="0"/>
        <v>12.25</v>
      </c>
      <c r="N6" s="28">
        <f t="shared" si="0"/>
        <v>14.450000000000001</v>
      </c>
      <c r="O6" s="28">
        <f t="shared" si="0"/>
        <v>16.75</v>
      </c>
      <c r="P6" s="28">
        <f t="shared" si="0"/>
        <v>19.100000000000001</v>
      </c>
      <c r="Q6" s="2"/>
    </row>
    <row r="7" spans="1:17" ht="18" customHeight="1" x14ac:dyDescent="0.3">
      <c r="A7" s="39" t="s">
        <v>90</v>
      </c>
      <c r="B7" s="15"/>
      <c r="C7" s="29">
        <f t="shared" ref="C7:P7" si="1">C5+C6</f>
        <v>42.900000000000006</v>
      </c>
      <c r="D7" s="29">
        <f t="shared" si="1"/>
        <v>125.8</v>
      </c>
      <c r="E7" s="29">
        <f t="shared" si="1"/>
        <v>173.4</v>
      </c>
      <c r="F7" s="29">
        <f t="shared" si="1"/>
        <v>319</v>
      </c>
      <c r="G7" s="29">
        <f t="shared" si="1"/>
        <v>477.375</v>
      </c>
      <c r="H7" s="29">
        <f t="shared" si="1"/>
        <v>668.32500000000005</v>
      </c>
      <c r="I7" s="29">
        <f t="shared" si="1"/>
        <v>934.65</v>
      </c>
      <c r="J7" s="29">
        <f t="shared" si="1"/>
        <v>1261.2750000000001</v>
      </c>
      <c r="K7" s="29">
        <f t="shared" si="1"/>
        <v>1638.15</v>
      </c>
      <c r="L7" s="29">
        <f t="shared" si="1"/>
        <v>2050.1999999999998</v>
      </c>
      <c r="M7" s="29">
        <f t="shared" si="1"/>
        <v>2462.25</v>
      </c>
      <c r="N7" s="29">
        <f t="shared" si="1"/>
        <v>2904.45</v>
      </c>
      <c r="O7" s="29">
        <f t="shared" si="1"/>
        <v>3366.75</v>
      </c>
      <c r="P7" s="29">
        <f t="shared" si="1"/>
        <v>3839.1</v>
      </c>
      <c r="Q7" s="2"/>
    </row>
    <row r="8" spans="1:17" ht="18" customHeight="1" x14ac:dyDescent="0.3">
      <c r="A8" s="38"/>
      <c r="B8" s="2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2"/>
    </row>
    <row r="9" spans="1:17" ht="19.95" customHeight="1" x14ac:dyDescent="0.3">
      <c r="A9" s="40" t="s">
        <v>91</v>
      </c>
      <c r="B9" s="14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2"/>
    </row>
    <row r="10" spans="1:17" ht="18" customHeight="1" x14ac:dyDescent="0.3">
      <c r="A10" s="38" t="s">
        <v>92</v>
      </c>
      <c r="B10" s="2"/>
      <c r="C10" s="28">
        <v>36.700000000000003</v>
      </c>
      <c r="D10" s="28">
        <v>99.2</v>
      </c>
      <c r="E10" s="28">
        <v>95.4</v>
      </c>
      <c r="F10" s="28">
        <v>222.4</v>
      </c>
      <c r="G10" s="28">
        <f>G5*Assumptions!H10</f>
        <v>342</v>
      </c>
      <c r="H10" s="28">
        <f>H5*Assumptions!I10</f>
        <v>472.15</v>
      </c>
      <c r="I10" s="28">
        <f>I5*Assumptions!J10</f>
        <v>651</v>
      </c>
      <c r="J10" s="28">
        <f>J5*Assumptions!K10</f>
        <v>872.22499999999991</v>
      </c>
      <c r="K10" s="28">
        <f>K5*Assumptions!L10</f>
        <v>1124.6999999999998</v>
      </c>
      <c r="L10" s="28">
        <f>L5*Assumptions!M10</f>
        <v>1403.52</v>
      </c>
      <c r="M10" s="28">
        <f>M5*Assumptions!N10</f>
        <v>1678.2500000000002</v>
      </c>
      <c r="N10" s="28">
        <f>N5*Assumptions!O10</f>
        <v>1973.8700000000001</v>
      </c>
      <c r="O10" s="28">
        <f>O5*Assumptions!P10</f>
        <v>2278</v>
      </c>
      <c r="P10" s="28">
        <f>P5*Assumptions!Q10</f>
        <v>2589.96</v>
      </c>
      <c r="Q10" s="2"/>
    </row>
    <row r="11" spans="1:17" ht="18" customHeight="1" x14ac:dyDescent="0.3">
      <c r="A11" s="38" t="s">
        <v>93</v>
      </c>
      <c r="B11" s="2"/>
      <c r="C11" s="28">
        <v>2.5</v>
      </c>
      <c r="D11" s="28">
        <v>5.5</v>
      </c>
      <c r="E11" s="28">
        <v>10</v>
      </c>
      <c r="F11" s="28">
        <v>14.9</v>
      </c>
      <c r="G11" s="28">
        <f>G5*Assumptions!H12</f>
        <v>23.75</v>
      </c>
      <c r="H11" s="28">
        <f>H5*Assumptions!I12</f>
        <v>31.92</v>
      </c>
      <c r="I11" s="28">
        <f>I5*Assumptions!J12</f>
        <v>41.85</v>
      </c>
      <c r="J11" s="28">
        <f>J5*Assumptions!K12</f>
        <v>53.964999999999996</v>
      </c>
      <c r="K11" s="28">
        <f>K5*Assumptions!L12</f>
        <v>66.83</v>
      </c>
      <c r="L11" s="28">
        <f>L5*Assumptions!M12</f>
        <v>81.600000000000009</v>
      </c>
      <c r="M11" s="28">
        <f>M5*Assumptions!N12</f>
        <v>95.55</v>
      </c>
      <c r="N11" s="28">
        <f>N5*Assumptions!O12</f>
        <v>109.82</v>
      </c>
      <c r="O11" s="28">
        <f>O5*Assumptions!P12</f>
        <v>123.94999999999999</v>
      </c>
      <c r="P11" s="28">
        <f>P5*Assumptions!Q12</f>
        <v>137.51999999999998</v>
      </c>
      <c r="Q11" s="2"/>
    </row>
    <row r="12" spans="1:17" ht="18" customHeight="1" x14ac:dyDescent="0.3">
      <c r="A12" s="38" t="s">
        <v>94</v>
      </c>
      <c r="B12" s="2"/>
      <c r="C12" s="28">
        <v>2.4</v>
      </c>
      <c r="D12" s="28">
        <v>7.4</v>
      </c>
      <c r="E12" s="28">
        <v>13.6</v>
      </c>
      <c r="F12" s="28">
        <v>20.2</v>
      </c>
      <c r="G12" s="28">
        <f>G5*Assumptions!H13</f>
        <v>33.25</v>
      </c>
      <c r="H12" s="28">
        <f>H5*Assumptions!I13</f>
        <v>45.220000000000006</v>
      </c>
      <c r="I12" s="28">
        <f>I5*Assumptions!J13</f>
        <v>60.45</v>
      </c>
      <c r="J12" s="28">
        <f>J5*Assumptions!K13</f>
        <v>79.064999999999998</v>
      </c>
      <c r="K12" s="28">
        <f>K5*Assumptions!L13</f>
        <v>97.8</v>
      </c>
      <c r="L12" s="28">
        <f>L5*Assumptions!M13</f>
        <v>118.32000000000001</v>
      </c>
      <c r="M12" s="28">
        <f>M5*Assumptions!N13</f>
        <v>137.20000000000002</v>
      </c>
      <c r="N12" s="28">
        <f>N5*Assumptions!O13</f>
        <v>158.94999999999999</v>
      </c>
      <c r="O12" s="28">
        <f>O5*Assumptions!P13</f>
        <v>180.9</v>
      </c>
      <c r="P12" s="28">
        <f>P5*Assumptions!Q13</f>
        <v>202.46</v>
      </c>
      <c r="Q12" s="2"/>
    </row>
    <row r="13" spans="1:17" ht="18" customHeight="1" x14ac:dyDescent="0.3">
      <c r="A13" s="39" t="s">
        <v>95</v>
      </c>
      <c r="B13" s="15"/>
      <c r="C13" s="29">
        <f t="shared" ref="C13:P13" si="2">C10+C11+C12</f>
        <v>41.6</v>
      </c>
      <c r="D13" s="29">
        <f t="shared" si="2"/>
        <v>112.10000000000001</v>
      </c>
      <c r="E13" s="29">
        <f t="shared" si="2"/>
        <v>119</v>
      </c>
      <c r="F13" s="29">
        <f t="shared" si="2"/>
        <v>257.5</v>
      </c>
      <c r="G13" s="29">
        <f t="shared" si="2"/>
        <v>399</v>
      </c>
      <c r="H13" s="29">
        <f t="shared" si="2"/>
        <v>549.29</v>
      </c>
      <c r="I13" s="29">
        <f t="shared" si="2"/>
        <v>753.30000000000007</v>
      </c>
      <c r="J13" s="29">
        <f t="shared" si="2"/>
        <v>1005.2549999999999</v>
      </c>
      <c r="K13" s="29">
        <f t="shared" si="2"/>
        <v>1289.3299999999997</v>
      </c>
      <c r="L13" s="29">
        <f t="shared" si="2"/>
        <v>1603.4399999999998</v>
      </c>
      <c r="M13" s="29">
        <f t="shared" si="2"/>
        <v>1911.0000000000002</v>
      </c>
      <c r="N13" s="29">
        <f t="shared" si="2"/>
        <v>2242.64</v>
      </c>
      <c r="O13" s="29">
        <f t="shared" si="2"/>
        <v>2582.85</v>
      </c>
      <c r="P13" s="29">
        <f t="shared" si="2"/>
        <v>2929.94</v>
      </c>
      <c r="Q13" s="2"/>
    </row>
    <row r="14" spans="1:17" ht="18" customHeight="1" x14ac:dyDescent="0.3">
      <c r="A14" s="38"/>
      <c r="B14" s="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2"/>
    </row>
    <row r="15" spans="1:17" ht="18" customHeight="1" x14ac:dyDescent="0.3">
      <c r="A15" s="41" t="s">
        <v>96</v>
      </c>
      <c r="B15" s="17"/>
      <c r="C15" s="32">
        <f t="shared" ref="C15:P15" si="3">C7-C13</f>
        <v>1.3000000000000043</v>
      </c>
      <c r="D15" s="32">
        <f t="shared" si="3"/>
        <v>13.699999999999989</v>
      </c>
      <c r="E15" s="32">
        <f t="shared" si="3"/>
        <v>54.400000000000006</v>
      </c>
      <c r="F15" s="32">
        <f t="shared" si="3"/>
        <v>61.5</v>
      </c>
      <c r="G15" s="32">
        <f t="shared" si="3"/>
        <v>78.375</v>
      </c>
      <c r="H15" s="32">
        <f t="shared" si="3"/>
        <v>119.03500000000008</v>
      </c>
      <c r="I15" s="32">
        <f t="shared" si="3"/>
        <v>181.34999999999991</v>
      </c>
      <c r="J15" s="32">
        <f t="shared" si="3"/>
        <v>256.02000000000021</v>
      </c>
      <c r="K15" s="32">
        <f t="shared" si="3"/>
        <v>348.82000000000039</v>
      </c>
      <c r="L15" s="32">
        <f t="shared" si="3"/>
        <v>446.76</v>
      </c>
      <c r="M15" s="32">
        <f t="shared" si="3"/>
        <v>551.24999999999977</v>
      </c>
      <c r="N15" s="32">
        <f t="shared" si="3"/>
        <v>661.81</v>
      </c>
      <c r="O15" s="32">
        <f t="shared" si="3"/>
        <v>783.90000000000009</v>
      </c>
      <c r="P15" s="32">
        <f t="shared" si="3"/>
        <v>909.15999999999985</v>
      </c>
      <c r="Q15" s="2"/>
    </row>
    <row r="16" spans="1:17" ht="18" customHeight="1" x14ac:dyDescent="0.3">
      <c r="A16" s="42" t="s">
        <v>380</v>
      </c>
      <c r="B16" s="18"/>
      <c r="C16" s="33">
        <f t="shared" ref="C16:P16" si="4">C15/C5</f>
        <v>3.0805687203791569E-2</v>
      </c>
      <c r="D16" s="33">
        <f t="shared" si="4"/>
        <v>0.10933758978451708</v>
      </c>
      <c r="E16" s="33">
        <f t="shared" si="4"/>
        <v>0.3151796060254925</v>
      </c>
      <c r="F16" s="33">
        <f t="shared" si="4"/>
        <v>0.19443566234587417</v>
      </c>
      <c r="G16" s="33">
        <f t="shared" si="4"/>
        <v>0.16500000000000001</v>
      </c>
      <c r="H16" s="33">
        <f t="shared" si="4"/>
        <v>0.17900000000000013</v>
      </c>
      <c r="I16" s="33">
        <f t="shared" si="4"/>
        <v>0.1949999999999999</v>
      </c>
      <c r="J16" s="33">
        <f t="shared" si="4"/>
        <v>0.20400000000000015</v>
      </c>
      <c r="K16" s="33">
        <f t="shared" si="4"/>
        <v>0.21400000000000025</v>
      </c>
      <c r="L16" s="33">
        <f t="shared" si="4"/>
        <v>0.219</v>
      </c>
      <c r="M16" s="33">
        <f t="shared" si="4"/>
        <v>0.22499999999999989</v>
      </c>
      <c r="N16" s="33">
        <f t="shared" si="4"/>
        <v>0.22899999999999998</v>
      </c>
      <c r="O16" s="33">
        <f t="shared" si="4"/>
        <v>0.23400000000000001</v>
      </c>
      <c r="P16" s="33">
        <f t="shared" si="4"/>
        <v>0.23799999999999996</v>
      </c>
      <c r="Q16" s="2"/>
    </row>
    <row r="17" spans="1:17" ht="18" customHeight="1" x14ac:dyDescent="0.3">
      <c r="A17" s="38"/>
      <c r="B17" s="2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"/>
    </row>
    <row r="18" spans="1:17" ht="18" customHeight="1" x14ac:dyDescent="0.3">
      <c r="A18" s="38" t="s">
        <v>97</v>
      </c>
      <c r="B18" s="2"/>
      <c r="C18" s="28">
        <v>1.1000000000000001</v>
      </c>
      <c r="D18" s="28">
        <v>1.1000000000000001</v>
      </c>
      <c r="E18" s="28">
        <v>2.8</v>
      </c>
      <c r="F18" s="28">
        <v>4.0999999999999996</v>
      </c>
      <c r="G18" s="28">
        <f>G5*Assumptions!H15</f>
        <v>8.5499999999999989</v>
      </c>
      <c r="H18" s="28">
        <f>H5*Assumptions!I15</f>
        <v>13.3</v>
      </c>
      <c r="I18" s="28">
        <f>I5*Assumptions!J15</f>
        <v>20.459999999999997</v>
      </c>
      <c r="J18" s="28">
        <f>J5*Assumptions!K15</f>
        <v>27.61</v>
      </c>
      <c r="K18" s="28">
        <f>K5*Assumptions!L15</f>
        <v>34.230000000000004</v>
      </c>
      <c r="L18" s="28">
        <f>L5*Assumptions!M15</f>
        <v>40.800000000000004</v>
      </c>
      <c r="M18" s="28">
        <f>M5*Assumptions!N15</f>
        <v>46.55</v>
      </c>
      <c r="N18" s="28">
        <f>N5*Assumptions!O15</f>
        <v>52.019999999999996</v>
      </c>
      <c r="O18" s="28">
        <f>O5*Assumptions!P15</f>
        <v>60.3</v>
      </c>
      <c r="P18" s="28">
        <f>P5*Assumptions!Q15</f>
        <v>64.94</v>
      </c>
      <c r="Q18" s="2"/>
    </row>
    <row r="19" spans="1:17" ht="18" customHeight="1" x14ac:dyDescent="0.3">
      <c r="A19" s="39" t="s">
        <v>98</v>
      </c>
      <c r="B19" s="15"/>
      <c r="C19" s="29">
        <f t="shared" ref="C19:P19" si="5">C15-C18</f>
        <v>0.20000000000000417</v>
      </c>
      <c r="D19" s="29">
        <f t="shared" si="5"/>
        <v>12.599999999999989</v>
      </c>
      <c r="E19" s="29">
        <f t="shared" si="5"/>
        <v>51.600000000000009</v>
      </c>
      <c r="F19" s="29">
        <f t="shared" si="5"/>
        <v>57.4</v>
      </c>
      <c r="G19" s="29">
        <f t="shared" si="5"/>
        <v>69.825000000000003</v>
      </c>
      <c r="H19" s="29">
        <f t="shared" si="5"/>
        <v>105.73500000000008</v>
      </c>
      <c r="I19" s="29">
        <f t="shared" si="5"/>
        <v>160.8899999999999</v>
      </c>
      <c r="J19" s="29">
        <f t="shared" si="5"/>
        <v>228.4100000000002</v>
      </c>
      <c r="K19" s="29">
        <f t="shared" si="5"/>
        <v>314.59000000000037</v>
      </c>
      <c r="L19" s="29">
        <f t="shared" si="5"/>
        <v>405.96</v>
      </c>
      <c r="M19" s="29">
        <f t="shared" si="5"/>
        <v>504.69999999999976</v>
      </c>
      <c r="N19" s="29">
        <f t="shared" si="5"/>
        <v>609.79</v>
      </c>
      <c r="O19" s="29">
        <f t="shared" si="5"/>
        <v>723.60000000000014</v>
      </c>
      <c r="P19" s="29">
        <f t="shared" si="5"/>
        <v>844.2199999999998</v>
      </c>
      <c r="Q19" s="2"/>
    </row>
    <row r="20" spans="1:17" ht="18" customHeight="1" x14ac:dyDescent="0.3">
      <c r="A20" s="38" t="s">
        <v>99</v>
      </c>
      <c r="B20" s="2"/>
      <c r="C20" s="28">
        <v>1.5</v>
      </c>
      <c r="D20" s="28">
        <v>3.4</v>
      </c>
      <c r="E20" s="28">
        <v>8.1999999999999993</v>
      </c>
      <c r="F20" s="28">
        <v>10.5</v>
      </c>
      <c r="G20" s="28">
        <f>(('Balance Sheet'!F28+'Balance Sheet'!F33+'Balance Sheet'!G28+'Balance Sheet'!G33)/2)*Assumptions!H16</f>
        <v>5.8274999999999997</v>
      </c>
      <c r="H20" s="28">
        <f>(('Balance Sheet'!G28+'Balance Sheet'!G33+'Balance Sheet'!H28+'Balance Sheet'!H33)/2)*Assumptions!I16</f>
        <v>6.65</v>
      </c>
      <c r="I20" s="28">
        <f>(('Balance Sheet'!H28+'Balance Sheet'!H33+'Balance Sheet'!I28+'Balance Sheet'!I33)/2)*Assumptions!J16</f>
        <v>6.2225000000000001</v>
      </c>
      <c r="J20" s="28">
        <f>(('Balance Sheet'!I28+'Balance Sheet'!I33+'Balance Sheet'!J28+'Balance Sheet'!J33)/2)*Assumptions!K16</f>
        <v>5.7</v>
      </c>
      <c r="K20" s="28">
        <f>(('Balance Sheet'!J28+'Balance Sheet'!J33+'Balance Sheet'!K28+'Balance Sheet'!K33)/2)*Assumptions!L16</f>
        <v>4.8149999999999995</v>
      </c>
      <c r="L20" s="28">
        <f>(('Balance Sheet'!K28+'Balance Sheet'!K33+'Balance Sheet'!L28+'Balance Sheet'!L33)/2)*Assumptions!M16</f>
        <v>4.1849999999999996</v>
      </c>
      <c r="M20" s="28">
        <f>(('Balance Sheet'!L28+'Balance Sheet'!L33+'Balance Sheet'!M28+'Balance Sheet'!M33)/2)*Assumptions!N16</f>
        <v>3.5639999999999996</v>
      </c>
      <c r="N20" s="28">
        <f>(('Balance Sheet'!M28+'Balance Sheet'!M33+'Balance Sheet'!N28+'Balance Sheet'!N33)/2)*Assumptions!O16</f>
        <v>3.1679999999999997</v>
      </c>
      <c r="O20" s="28">
        <f>(('Balance Sheet'!N28+'Balance Sheet'!N33+'Balance Sheet'!O28+'Balance Sheet'!O33)/2)*Assumptions!P16</f>
        <v>2.6775000000000002</v>
      </c>
      <c r="P20" s="28">
        <f>(('Balance Sheet'!O28+'Balance Sheet'!O33+'Balance Sheet'!P28+'Balance Sheet'!P33)/2)*Assumptions!Q16</f>
        <v>2.2950000000000004</v>
      </c>
      <c r="Q20" s="2"/>
    </row>
    <row r="21" spans="1:17" ht="18" customHeight="1" x14ac:dyDescent="0.3">
      <c r="A21" s="39" t="s">
        <v>100</v>
      </c>
      <c r="B21" s="15"/>
      <c r="C21" s="29">
        <f t="shared" ref="C21:P21" si="6">C19-C20</f>
        <v>-1.2999999999999958</v>
      </c>
      <c r="D21" s="29">
        <f t="shared" si="6"/>
        <v>9.1999999999999886</v>
      </c>
      <c r="E21" s="29">
        <f t="shared" si="6"/>
        <v>43.400000000000006</v>
      </c>
      <c r="F21" s="29">
        <f t="shared" si="6"/>
        <v>46.9</v>
      </c>
      <c r="G21" s="29">
        <f t="shared" si="6"/>
        <v>63.997500000000002</v>
      </c>
      <c r="H21" s="29">
        <f t="shared" si="6"/>
        <v>99.085000000000079</v>
      </c>
      <c r="I21" s="29">
        <f t="shared" si="6"/>
        <v>154.6674999999999</v>
      </c>
      <c r="J21" s="29">
        <f t="shared" si="6"/>
        <v>222.71000000000021</v>
      </c>
      <c r="K21" s="29">
        <f t="shared" si="6"/>
        <v>309.77500000000038</v>
      </c>
      <c r="L21" s="29">
        <f t="shared" si="6"/>
        <v>401.77499999999998</v>
      </c>
      <c r="M21" s="29">
        <f t="shared" si="6"/>
        <v>501.13599999999974</v>
      </c>
      <c r="N21" s="29">
        <f t="shared" si="6"/>
        <v>606.62199999999996</v>
      </c>
      <c r="O21" s="29">
        <f t="shared" si="6"/>
        <v>720.92250000000013</v>
      </c>
      <c r="P21" s="29">
        <f t="shared" si="6"/>
        <v>841.92499999999984</v>
      </c>
      <c r="Q21" s="2"/>
    </row>
    <row r="22" spans="1:17" ht="18" customHeight="1" x14ac:dyDescent="0.3">
      <c r="A22" s="42" t="s">
        <v>101</v>
      </c>
      <c r="B22" s="18"/>
      <c r="C22" s="33">
        <f t="shared" ref="C22:P22" si="7">C21/C5</f>
        <v>-3.0805687203791367E-2</v>
      </c>
      <c r="D22" s="33">
        <f t="shared" si="7"/>
        <v>7.3423782920989542E-2</v>
      </c>
      <c r="E22" s="33">
        <f t="shared" si="7"/>
        <v>0.25144843568945541</v>
      </c>
      <c r="F22" s="33">
        <f t="shared" si="7"/>
        <v>0.14827695226051216</v>
      </c>
      <c r="G22" s="33">
        <f t="shared" si="7"/>
        <v>0.13473157894736842</v>
      </c>
      <c r="H22" s="33">
        <f t="shared" si="7"/>
        <v>0.14900000000000013</v>
      </c>
      <c r="I22" s="33">
        <f t="shared" si="7"/>
        <v>0.16630913978494613</v>
      </c>
      <c r="J22" s="33">
        <f t="shared" si="7"/>
        <v>0.17745816733067746</v>
      </c>
      <c r="K22" s="33">
        <f t="shared" si="7"/>
        <v>0.19004601226993889</v>
      </c>
      <c r="L22" s="33">
        <f t="shared" si="7"/>
        <v>0.19694852941176469</v>
      </c>
      <c r="M22" s="33">
        <f t="shared" si="7"/>
        <v>0.20454530612244887</v>
      </c>
      <c r="N22" s="33">
        <f t="shared" si="7"/>
        <v>0.20990380622837368</v>
      </c>
      <c r="O22" s="33">
        <f t="shared" si="7"/>
        <v>0.21520074626865676</v>
      </c>
      <c r="P22" s="33">
        <f t="shared" si="7"/>
        <v>0.22039921465968582</v>
      </c>
      <c r="Q22" s="2"/>
    </row>
    <row r="23" spans="1:17" ht="18" customHeight="1" thickBot="1" x14ac:dyDescent="0.35">
      <c r="A23" s="37" t="s">
        <v>102</v>
      </c>
      <c r="B23" s="2"/>
      <c r="C23" s="28">
        <v>0.1</v>
      </c>
      <c r="D23" s="28">
        <v>4.4000000000000004</v>
      </c>
      <c r="E23" s="28">
        <v>5.4</v>
      </c>
      <c r="F23" s="28">
        <v>10.3</v>
      </c>
      <c r="G23" s="28">
        <f>G21*Assumptions!H17</f>
        <v>16.127369999999999</v>
      </c>
      <c r="H23" s="28">
        <f>H21*Assumptions!I17</f>
        <v>24.969420000000021</v>
      </c>
      <c r="I23" s="28">
        <f>I21*Assumptions!J17</f>
        <v>38.976209999999973</v>
      </c>
      <c r="J23" s="28">
        <f>J21*Assumptions!K17</f>
        <v>56.12292000000005</v>
      </c>
      <c r="K23" s="28">
        <f>K21*Assumptions!L17</f>
        <v>78.063300000000098</v>
      </c>
      <c r="L23" s="28">
        <f>L21*Assumptions!M17</f>
        <v>101.2473</v>
      </c>
      <c r="M23" s="28">
        <f>M21*Assumptions!N17</f>
        <v>126.28627199999994</v>
      </c>
      <c r="N23" s="28">
        <f>N21*Assumptions!O17</f>
        <v>152.86874399999999</v>
      </c>
      <c r="O23" s="28">
        <f>O21*Assumptions!P17</f>
        <v>181.67247000000003</v>
      </c>
      <c r="P23" s="28">
        <f>P21*Assumptions!Q17</f>
        <v>212.16509999999997</v>
      </c>
      <c r="Q23" s="2"/>
    </row>
    <row r="24" spans="1:17" ht="18" customHeight="1" thickBot="1" x14ac:dyDescent="0.35">
      <c r="A24" s="43" t="s">
        <v>103</v>
      </c>
      <c r="B24" s="16"/>
      <c r="C24" s="34">
        <f t="shared" ref="C24:P24" si="8">C21-C23</f>
        <v>-1.3999999999999959</v>
      </c>
      <c r="D24" s="34">
        <f t="shared" si="8"/>
        <v>4.7999999999999883</v>
      </c>
      <c r="E24" s="34">
        <f t="shared" si="8"/>
        <v>38.000000000000007</v>
      </c>
      <c r="F24" s="34">
        <f t="shared" si="8"/>
        <v>36.599999999999994</v>
      </c>
      <c r="G24" s="34">
        <f t="shared" si="8"/>
        <v>47.870130000000003</v>
      </c>
      <c r="H24" s="34">
        <f t="shared" si="8"/>
        <v>74.115580000000051</v>
      </c>
      <c r="I24" s="34">
        <f t="shared" si="8"/>
        <v>115.69128999999992</v>
      </c>
      <c r="J24" s="34">
        <f t="shared" si="8"/>
        <v>166.58708000000016</v>
      </c>
      <c r="K24" s="34">
        <f t="shared" si="8"/>
        <v>231.71170000000029</v>
      </c>
      <c r="L24" s="34">
        <f t="shared" si="8"/>
        <v>300.52769999999998</v>
      </c>
      <c r="M24" s="34">
        <f t="shared" si="8"/>
        <v>374.8497279999998</v>
      </c>
      <c r="N24" s="34">
        <f t="shared" si="8"/>
        <v>453.75325599999996</v>
      </c>
      <c r="O24" s="34">
        <f t="shared" si="8"/>
        <v>539.25003000000015</v>
      </c>
      <c r="P24" s="34">
        <f t="shared" si="8"/>
        <v>629.7598999999999</v>
      </c>
      <c r="Q24" s="2"/>
    </row>
    <row r="25" spans="1:17" ht="18" customHeight="1" thickTop="1" x14ac:dyDescent="0.3">
      <c r="A25" s="44" t="s">
        <v>104</v>
      </c>
      <c r="B25" s="18"/>
      <c r="C25" s="33">
        <f t="shared" ref="C25:P25" si="9">C24/C5</f>
        <v>-3.3175355450236865E-2</v>
      </c>
      <c r="D25" s="33">
        <f t="shared" si="9"/>
        <v>3.830806065442928E-2</v>
      </c>
      <c r="E25" s="33">
        <f t="shared" si="9"/>
        <v>0.22016222479721906</v>
      </c>
      <c r="F25" s="33">
        <f t="shared" si="9"/>
        <v>0.11571293076193485</v>
      </c>
      <c r="G25" s="33">
        <f t="shared" si="9"/>
        <v>0.10077922105263158</v>
      </c>
      <c r="H25" s="33">
        <f t="shared" si="9"/>
        <v>0.11145200000000008</v>
      </c>
      <c r="I25" s="33">
        <f t="shared" si="9"/>
        <v>0.1243992365591397</v>
      </c>
      <c r="J25" s="33">
        <f t="shared" si="9"/>
        <v>0.13273870916334674</v>
      </c>
      <c r="K25" s="33">
        <f t="shared" si="9"/>
        <v>0.1421544171779143</v>
      </c>
      <c r="L25" s="33">
        <f t="shared" si="9"/>
        <v>0.14731749999999999</v>
      </c>
      <c r="M25" s="33">
        <f t="shared" si="9"/>
        <v>0.15299988897959174</v>
      </c>
      <c r="N25" s="33">
        <f t="shared" si="9"/>
        <v>0.15700804705882351</v>
      </c>
      <c r="O25" s="33">
        <f t="shared" si="9"/>
        <v>0.16097015820895527</v>
      </c>
      <c r="P25" s="33">
        <f t="shared" si="9"/>
        <v>0.16485861256544501</v>
      </c>
      <c r="Q25" s="2"/>
    </row>
    <row r="26" spans="1:17" ht="18" customHeight="1" thickBot="1" x14ac:dyDescent="0.35">
      <c r="A26" s="37" t="s">
        <v>105</v>
      </c>
      <c r="B26" s="2"/>
      <c r="C26" s="28">
        <v>0</v>
      </c>
      <c r="D26" s="28">
        <v>0</v>
      </c>
      <c r="E26" s="28">
        <v>0.04</v>
      </c>
      <c r="F26" s="28">
        <v>0.56999999999999995</v>
      </c>
      <c r="G26" s="28">
        <f t="shared" ref="G26:P26" si="10">G24*0.02</f>
        <v>0.9574026000000001</v>
      </c>
      <c r="H26" s="28">
        <f t="shared" si="10"/>
        <v>1.482311600000001</v>
      </c>
      <c r="I26" s="28">
        <f t="shared" si="10"/>
        <v>2.3138257999999987</v>
      </c>
      <c r="J26" s="28">
        <f t="shared" si="10"/>
        <v>3.3317416000000031</v>
      </c>
      <c r="K26" s="28">
        <f t="shared" si="10"/>
        <v>4.6342340000000055</v>
      </c>
      <c r="L26" s="28">
        <f t="shared" si="10"/>
        <v>6.010554</v>
      </c>
      <c r="M26" s="28">
        <f t="shared" si="10"/>
        <v>7.4969945599999965</v>
      </c>
      <c r="N26" s="28">
        <f t="shared" si="10"/>
        <v>9.0750651199999997</v>
      </c>
      <c r="O26" s="28">
        <f t="shared" si="10"/>
        <v>10.785000600000004</v>
      </c>
      <c r="P26" s="28">
        <f t="shared" si="10"/>
        <v>12.595197999999998</v>
      </c>
      <c r="Q26" s="2"/>
    </row>
    <row r="27" spans="1:17" ht="18" customHeight="1" thickBot="1" x14ac:dyDescent="0.35">
      <c r="A27" s="43" t="s">
        <v>106</v>
      </c>
      <c r="B27" s="16"/>
      <c r="C27" s="34">
        <f t="shared" ref="C27:P27" si="11">C24-C26</f>
        <v>-1.3999999999999959</v>
      </c>
      <c r="D27" s="34">
        <f t="shared" si="11"/>
        <v>4.7999999999999883</v>
      </c>
      <c r="E27" s="34">
        <f t="shared" si="11"/>
        <v>37.960000000000008</v>
      </c>
      <c r="F27" s="34">
        <f t="shared" si="11"/>
        <v>36.029999999999994</v>
      </c>
      <c r="G27" s="34">
        <f t="shared" si="11"/>
        <v>46.912727400000001</v>
      </c>
      <c r="H27" s="34">
        <f t="shared" si="11"/>
        <v>72.633268400000048</v>
      </c>
      <c r="I27" s="34">
        <f t="shared" si="11"/>
        <v>113.37746419999992</v>
      </c>
      <c r="J27" s="34">
        <f t="shared" si="11"/>
        <v>163.25533840000014</v>
      </c>
      <c r="K27" s="34">
        <f t="shared" si="11"/>
        <v>227.0774660000003</v>
      </c>
      <c r="L27" s="34">
        <f t="shared" si="11"/>
        <v>294.51714599999997</v>
      </c>
      <c r="M27" s="34">
        <f t="shared" si="11"/>
        <v>367.35273343999978</v>
      </c>
      <c r="N27" s="34">
        <f t="shared" si="11"/>
        <v>444.67819087999999</v>
      </c>
      <c r="O27" s="34">
        <f t="shared" si="11"/>
        <v>528.46502940000016</v>
      </c>
      <c r="P27" s="34">
        <f t="shared" si="11"/>
        <v>617.16470199999992</v>
      </c>
      <c r="Q27" s="2"/>
    </row>
    <row r="28" spans="1:17" ht="18" customHeight="1" thickTop="1" x14ac:dyDescent="0.3">
      <c r="A28" s="38"/>
      <c r="B28" s="2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2"/>
    </row>
    <row r="29" spans="1:17" ht="18" customHeight="1" x14ac:dyDescent="0.3">
      <c r="A29" s="37" t="s">
        <v>107</v>
      </c>
      <c r="B29" s="2"/>
      <c r="C29" s="35">
        <v>1.03</v>
      </c>
      <c r="D29" s="35">
        <v>1.03</v>
      </c>
      <c r="E29" s="35">
        <v>1.03</v>
      </c>
      <c r="F29" s="35">
        <v>1.06</v>
      </c>
      <c r="G29" s="35">
        <v>1.06</v>
      </c>
      <c r="H29" s="35">
        <v>1.06</v>
      </c>
      <c r="I29" s="35">
        <v>1.06</v>
      </c>
      <c r="J29" s="35">
        <v>1.06</v>
      </c>
      <c r="K29" s="35">
        <v>1.06</v>
      </c>
      <c r="L29" s="35">
        <v>1.06</v>
      </c>
      <c r="M29" s="35">
        <v>1.06</v>
      </c>
      <c r="N29" s="35">
        <v>1.06</v>
      </c>
      <c r="O29" s="35">
        <v>1.06</v>
      </c>
      <c r="P29" s="35">
        <v>1.06</v>
      </c>
      <c r="Q29" s="2"/>
    </row>
    <row r="30" spans="1:17" ht="18" customHeight="1" x14ac:dyDescent="0.3">
      <c r="A30" s="37" t="s">
        <v>108</v>
      </c>
      <c r="B30" s="3"/>
      <c r="C30" s="36">
        <f t="shared" ref="C30:P30" si="12">C27/C29</f>
        <v>-1.3592233009708699</v>
      </c>
      <c r="D30" s="36">
        <f t="shared" si="12"/>
        <v>4.6601941747572697</v>
      </c>
      <c r="E30" s="36">
        <f t="shared" si="12"/>
        <v>36.854368932038845</v>
      </c>
      <c r="F30" s="36">
        <f t="shared" si="12"/>
        <v>33.990566037735839</v>
      </c>
      <c r="G30" s="36">
        <f t="shared" si="12"/>
        <v>44.257289999999998</v>
      </c>
      <c r="H30" s="36">
        <f t="shared" si="12"/>
        <v>68.521951320754752</v>
      </c>
      <c r="I30" s="36">
        <f t="shared" si="12"/>
        <v>106.95987188679237</v>
      </c>
      <c r="J30" s="36">
        <f t="shared" si="12"/>
        <v>154.01447018867938</v>
      </c>
      <c r="K30" s="36">
        <f t="shared" si="12"/>
        <v>214.22402452830215</v>
      </c>
      <c r="L30" s="36">
        <f t="shared" si="12"/>
        <v>277.84636415094337</v>
      </c>
      <c r="M30" s="36">
        <f t="shared" si="12"/>
        <v>346.55918249056583</v>
      </c>
      <c r="N30" s="36">
        <f t="shared" si="12"/>
        <v>419.50772724528298</v>
      </c>
      <c r="O30" s="36">
        <f t="shared" si="12"/>
        <v>498.55191452830201</v>
      </c>
      <c r="P30" s="36">
        <f t="shared" si="12"/>
        <v>582.23085094339615</v>
      </c>
      <c r="Q30" s="2"/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A777-4531-4633-A35A-DD3F4DC8E67B}">
  <dimension ref="A1:P3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4.44140625" customWidth="1"/>
    <col min="2" max="2" width="3.6640625" customWidth="1"/>
    <col min="3" max="16" width="14.44140625" customWidth="1"/>
  </cols>
  <sheetData>
    <row r="1" spans="1:16" ht="28.05" customHeight="1" x14ac:dyDescent="0.3">
      <c r="A1" s="10" t="s">
        <v>308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2.05" customHeight="1" thickBot="1" x14ac:dyDescent="0.35">
      <c r="A3" s="11"/>
      <c r="B3" s="11"/>
      <c r="C3" s="12" t="s">
        <v>14</v>
      </c>
      <c r="D3" s="12" t="s">
        <v>15</v>
      </c>
      <c r="E3" s="12" t="s">
        <v>16</v>
      </c>
      <c r="F3" s="12" t="s">
        <v>17</v>
      </c>
      <c r="G3" s="13" t="s">
        <v>18</v>
      </c>
      <c r="H3" s="13" t="s">
        <v>19</v>
      </c>
      <c r="I3" s="13" t="s">
        <v>20</v>
      </c>
      <c r="J3" s="13" t="s">
        <v>21</v>
      </c>
      <c r="K3" s="13" t="s">
        <v>22</v>
      </c>
      <c r="L3" s="13" t="s">
        <v>23</v>
      </c>
      <c r="M3" s="13" t="s">
        <v>24</v>
      </c>
      <c r="N3" s="13" t="s">
        <v>25</v>
      </c>
      <c r="O3" s="13" t="s">
        <v>26</v>
      </c>
      <c r="P3" s="13" t="s">
        <v>27</v>
      </c>
    </row>
    <row r="4" spans="1:16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9.95" customHeight="1" x14ac:dyDescent="0.3">
      <c r="A5" s="14" t="s">
        <v>309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8" customHeight="1" x14ac:dyDescent="0.3">
      <c r="A6" s="3" t="s">
        <v>310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8" customHeight="1" x14ac:dyDescent="0.3">
      <c r="A7" s="38" t="s">
        <v>311</v>
      </c>
      <c r="B7" s="2"/>
      <c r="C7" s="28">
        <v>18</v>
      </c>
      <c r="D7" s="28">
        <v>16</v>
      </c>
      <c r="E7" s="28">
        <v>20</v>
      </c>
      <c r="F7" s="28">
        <v>40</v>
      </c>
      <c r="G7" s="28">
        <f>F7+Assumptions!H26-'Income Statement'!G18</f>
        <v>86.45</v>
      </c>
      <c r="H7" s="28">
        <f>G7+Assumptions!I26-'Income Statement'!H18</f>
        <v>118.14999999999999</v>
      </c>
      <c r="I7" s="28">
        <f>H7+Assumptions!J26-'Income Statement'!I18</f>
        <v>132.68999999999997</v>
      </c>
      <c r="J7" s="28">
        <f>I7+Assumptions!K26-'Income Statement'!J18</f>
        <v>135.07999999999998</v>
      </c>
      <c r="K7" s="28">
        <f>J7+Assumptions!L26-'Income Statement'!K18</f>
        <v>128.84999999999997</v>
      </c>
      <c r="L7" s="28">
        <f>K7+Assumptions!M26-'Income Statement'!L18</f>
        <v>118.04999999999995</v>
      </c>
      <c r="M7" s="28">
        <f>L7+Assumptions!N26-'Income Statement'!M18</f>
        <v>103.49999999999996</v>
      </c>
      <c r="N7" s="28">
        <f>M7+Assumptions!O26-'Income Statement'!N18</f>
        <v>86.479999999999947</v>
      </c>
      <c r="O7" s="28">
        <f>N7+Assumptions!P26-'Income Statement'!O18</f>
        <v>64.17999999999995</v>
      </c>
      <c r="P7" s="28">
        <f>O7+Assumptions!Q26-'Income Statement'!P18</f>
        <v>39.239999999999952</v>
      </c>
    </row>
    <row r="8" spans="1:16" ht="18" customHeight="1" x14ac:dyDescent="0.3">
      <c r="A8" s="38" t="s">
        <v>312</v>
      </c>
      <c r="B8" s="2"/>
      <c r="C8" s="28">
        <v>5</v>
      </c>
      <c r="D8" s="28">
        <v>6</v>
      </c>
      <c r="E8" s="28">
        <v>10</v>
      </c>
      <c r="F8" s="28">
        <v>15</v>
      </c>
      <c r="G8" s="28">
        <f>F8+3</f>
        <v>18</v>
      </c>
      <c r="H8" s="28">
        <f>G8+2</f>
        <v>20</v>
      </c>
      <c r="I8" s="28">
        <f>H8+2</f>
        <v>22</v>
      </c>
      <c r="J8" s="28">
        <f>I8+3</f>
        <v>25</v>
      </c>
      <c r="K8" s="28">
        <f>J8+3</f>
        <v>28</v>
      </c>
      <c r="L8" s="28">
        <f>K8+2</f>
        <v>30</v>
      </c>
      <c r="M8" s="28">
        <f>L8+3</f>
        <v>33</v>
      </c>
      <c r="N8" s="28">
        <f>M8+3</f>
        <v>36</v>
      </c>
      <c r="O8" s="28">
        <f>N8+3</f>
        <v>39</v>
      </c>
      <c r="P8" s="28">
        <f>O8+3</f>
        <v>42</v>
      </c>
    </row>
    <row r="9" spans="1:16" ht="18" customHeight="1" x14ac:dyDescent="0.3">
      <c r="A9" s="39" t="s">
        <v>313</v>
      </c>
      <c r="B9" s="15"/>
      <c r="C9" s="29">
        <f t="shared" ref="C9:P9" si="0">C7+C8</f>
        <v>23</v>
      </c>
      <c r="D9" s="29">
        <f t="shared" si="0"/>
        <v>22</v>
      </c>
      <c r="E9" s="29">
        <f t="shared" si="0"/>
        <v>30</v>
      </c>
      <c r="F9" s="29">
        <f t="shared" si="0"/>
        <v>55</v>
      </c>
      <c r="G9" s="29">
        <f t="shared" si="0"/>
        <v>104.45</v>
      </c>
      <c r="H9" s="29">
        <f t="shared" si="0"/>
        <v>138.14999999999998</v>
      </c>
      <c r="I9" s="29">
        <f t="shared" si="0"/>
        <v>154.68999999999997</v>
      </c>
      <c r="J9" s="29">
        <f t="shared" si="0"/>
        <v>160.07999999999998</v>
      </c>
      <c r="K9" s="29">
        <f t="shared" si="0"/>
        <v>156.84999999999997</v>
      </c>
      <c r="L9" s="29">
        <f t="shared" si="0"/>
        <v>148.04999999999995</v>
      </c>
      <c r="M9" s="29">
        <f t="shared" si="0"/>
        <v>136.49999999999994</v>
      </c>
      <c r="N9" s="29">
        <f t="shared" si="0"/>
        <v>122.47999999999995</v>
      </c>
      <c r="O9" s="29">
        <f t="shared" si="0"/>
        <v>103.17999999999995</v>
      </c>
      <c r="P9" s="29">
        <f t="shared" si="0"/>
        <v>81.239999999999952</v>
      </c>
    </row>
    <row r="10" spans="1:16" ht="18" customHeight="1" x14ac:dyDescent="0.3">
      <c r="A10" s="38"/>
      <c r="B10" s="2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8" customHeight="1" x14ac:dyDescent="0.3">
      <c r="A11" s="37" t="s">
        <v>314</v>
      </c>
      <c r="B11" s="2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8" customHeight="1" x14ac:dyDescent="0.3">
      <c r="A12" s="38" t="s">
        <v>315</v>
      </c>
      <c r="B12" s="2"/>
      <c r="C12" s="28">
        <v>2.8</v>
      </c>
      <c r="D12" s="28">
        <v>9</v>
      </c>
      <c r="E12" s="28">
        <v>9.1999999999999993</v>
      </c>
      <c r="F12" s="28">
        <v>18.3</v>
      </c>
      <c r="G12" s="28">
        <f>'Income Statement'!G5*Assumptions!H21/365</f>
        <v>41.643835616438359</v>
      </c>
      <c r="H12" s="28">
        <f>'Income Statement'!H5*Assumptions!I21/365</f>
        <v>54.657534246575345</v>
      </c>
      <c r="I12" s="28">
        <f>'Income Statement'!I5*Assumptions!J21/365</f>
        <v>71.342465753424662</v>
      </c>
      <c r="J12" s="28">
        <f>'Income Statement'!J5*Assumptions!K21/365</f>
        <v>92.835616438356169</v>
      </c>
      <c r="K12" s="28">
        <f>'Income Statement'!K5*Assumptions!L21/365</f>
        <v>116.10958904109589</v>
      </c>
      <c r="L12" s="28">
        <f>'Income Statement'!L5*Assumptions!M21/365</f>
        <v>139.72602739726028</v>
      </c>
      <c r="M12" s="28">
        <f>'Income Statement'!M5*Assumptions!N21/365</f>
        <v>167.8082191780822</v>
      </c>
      <c r="N12" s="28">
        <f>'Income Statement'!N5*Assumptions!O21/365</f>
        <v>190.02739726027397</v>
      </c>
      <c r="O12" s="28">
        <f>'Income Statement'!O5*Assumptions!P21/365</f>
        <v>220.27397260273972</v>
      </c>
      <c r="P12" s="28">
        <f>'Income Statement'!P5*Assumptions!Q21/365</f>
        <v>240.7123287671233</v>
      </c>
    </row>
    <row r="13" spans="1:16" ht="18" customHeight="1" x14ac:dyDescent="0.3">
      <c r="A13" s="37" t="s">
        <v>316</v>
      </c>
      <c r="B13" s="2"/>
      <c r="C13" s="28">
        <v>24.3</v>
      </c>
      <c r="D13" s="28">
        <v>57.3</v>
      </c>
      <c r="E13" s="28">
        <v>87.5</v>
      </c>
      <c r="F13" s="28">
        <v>147.30000000000001</v>
      </c>
      <c r="G13" s="28">
        <f>'Income Statement'!G5*Assumptions!H20/365</f>
        <v>201.7123287671233</v>
      </c>
      <c r="H13" s="28">
        <f>'Income Statement'!H5*Assumptions!I20/365</f>
        <v>255.06849315068493</v>
      </c>
      <c r="I13" s="28">
        <f>'Income Statement'!I5*Assumptions!J20/365</f>
        <v>331.23287671232879</v>
      </c>
      <c r="J13" s="28">
        <f>'Income Statement'!J5*Assumptions!K20/365</f>
        <v>412.60273972602738</v>
      </c>
      <c r="K13" s="28">
        <f>'Income Statement'!K5*Assumptions!L20/365</f>
        <v>513.56164383561645</v>
      </c>
      <c r="L13" s="28">
        <f>'Income Statement'!L5*Assumptions!M20/365</f>
        <v>614.79452054794524</v>
      </c>
      <c r="M13" s="28">
        <f>'Income Statement'!M5*Assumptions!N20/365</f>
        <v>704.79452054794524</v>
      </c>
      <c r="N13" s="28">
        <f>'Income Statement'!N5*Assumptions!O20/365</f>
        <v>791.78082191780823</v>
      </c>
      <c r="O13" s="28">
        <f>'Income Statement'!O5*Assumptions!P20/365</f>
        <v>871.91780821917803</v>
      </c>
      <c r="P13" s="28">
        <f>'Income Statement'!P5*Assumptions!Q20/365</f>
        <v>941.91780821917803</v>
      </c>
    </row>
    <row r="14" spans="1:16" ht="18" customHeight="1" x14ac:dyDescent="0.3">
      <c r="A14" s="38" t="s">
        <v>317</v>
      </c>
      <c r="B14" s="2"/>
      <c r="C14" s="28">
        <v>6</v>
      </c>
      <c r="D14" s="28">
        <v>10</v>
      </c>
      <c r="E14" s="28">
        <v>12</v>
      </c>
      <c r="F14" s="28">
        <v>15</v>
      </c>
      <c r="G14" s="28">
        <f t="shared" ref="G14:P14" si="1">G24+G25+G30+G33+G34+G35-G9-G12-G13-G15</f>
        <v>2.3154013027397298</v>
      </c>
      <c r="H14" s="28">
        <f t="shared" si="1"/>
        <v>21.152428242465881</v>
      </c>
      <c r="I14" s="28">
        <f t="shared" si="1"/>
        <v>76.560230000000118</v>
      </c>
      <c r="J14" s="28">
        <f t="shared" si="1"/>
        <v>187.83657618630164</v>
      </c>
      <c r="K14" s="28">
        <f t="shared" si="1"/>
        <v>364.98355644657562</v>
      </c>
      <c r="L14" s="28">
        <f t="shared" si="1"/>
        <v>614.12597944657568</v>
      </c>
      <c r="M14" s="28">
        <f t="shared" si="1"/>
        <v>945.88693619397282</v>
      </c>
      <c r="N14" s="28">
        <f t="shared" si="1"/>
        <v>1364.6037555243838</v>
      </c>
      <c r="O14" s="28">
        <f t="shared" si="1"/>
        <v>1876.7007372791786</v>
      </c>
      <c r="P14" s="28">
        <f t="shared" si="1"/>
        <v>2488.2990656764396</v>
      </c>
    </row>
    <row r="15" spans="1:16" ht="18" customHeight="1" x14ac:dyDescent="0.3">
      <c r="A15" s="37" t="s">
        <v>318</v>
      </c>
      <c r="B15" s="2"/>
      <c r="C15" s="28">
        <f>C24+C25+C30+C36-C9-C12-C13-C14</f>
        <v>20.600000000000005</v>
      </c>
      <c r="D15" s="28">
        <f>D24+D25+D30+D36-D9-D12-D13-D14</f>
        <v>5.7000000000000028</v>
      </c>
      <c r="E15" s="28">
        <f>E24+E25+E30+E36-E9-E12-E13-E14</f>
        <v>5.2000000000000028</v>
      </c>
      <c r="F15" s="28">
        <f>F24+F25+F30+F36-F9-F12-F13-F14</f>
        <v>12</v>
      </c>
      <c r="G15" s="28">
        <f>'Income Statement'!G5*Assumptions!H23</f>
        <v>14.25</v>
      </c>
      <c r="H15" s="28">
        <f>'Income Statement'!H5*Assumptions!I23</f>
        <v>15.96</v>
      </c>
      <c r="I15" s="28">
        <f>'Income Statement'!I5*Assumptions!J23</f>
        <v>17.669999999999998</v>
      </c>
      <c r="J15" s="28">
        <f>'Income Statement'!J5*Assumptions!K23</f>
        <v>20.080000000000002</v>
      </c>
      <c r="K15" s="28">
        <f>'Income Statement'!K5*Assumptions!L23</f>
        <v>22.82</v>
      </c>
      <c r="L15" s="28">
        <f>'Income Statement'!L5*Assumptions!M23</f>
        <v>24.48</v>
      </c>
      <c r="M15" s="28">
        <f>'Income Statement'!M5*Assumptions!N23</f>
        <v>26.95</v>
      </c>
      <c r="N15" s="28">
        <f>'Income Statement'!N5*Assumptions!O23</f>
        <v>28.900000000000002</v>
      </c>
      <c r="O15" s="28">
        <f>'Income Statement'!O5*Assumptions!P23</f>
        <v>30.15</v>
      </c>
      <c r="P15" s="28">
        <f>'Income Statement'!P5*Assumptions!Q23</f>
        <v>30.560000000000002</v>
      </c>
    </row>
    <row r="16" spans="1:16" ht="18" customHeight="1" x14ac:dyDescent="0.3">
      <c r="A16" s="39" t="s">
        <v>319</v>
      </c>
      <c r="B16" s="15"/>
      <c r="C16" s="29">
        <f t="shared" ref="C16:P16" si="2">SUM(C12:C15)</f>
        <v>53.7</v>
      </c>
      <c r="D16" s="29">
        <f t="shared" si="2"/>
        <v>82</v>
      </c>
      <c r="E16" s="29">
        <f t="shared" si="2"/>
        <v>113.9</v>
      </c>
      <c r="F16" s="29">
        <f t="shared" si="2"/>
        <v>192.60000000000002</v>
      </c>
      <c r="G16" s="29">
        <f t="shared" si="2"/>
        <v>259.92156568630139</v>
      </c>
      <c r="H16" s="29">
        <f t="shared" si="2"/>
        <v>346.83845563972613</v>
      </c>
      <c r="I16" s="29">
        <f t="shared" si="2"/>
        <v>496.80557246575358</v>
      </c>
      <c r="J16" s="29">
        <f t="shared" si="2"/>
        <v>713.3549323506852</v>
      </c>
      <c r="K16" s="29">
        <f t="shared" si="2"/>
        <v>1017.4747893232881</v>
      </c>
      <c r="L16" s="29">
        <f t="shared" si="2"/>
        <v>1393.1265273917811</v>
      </c>
      <c r="M16" s="29">
        <f t="shared" si="2"/>
        <v>1845.4396759200004</v>
      </c>
      <c r="N16" s="29">
        <f t="shared" si="2"/>
        <v>2375.3119747024662</v>
      </c>
      <c r="O16" s="29">
        <f t="shared" si="2"/>
        <v>2999.0425181010964</v>
      </c>
      <c r="P16" s="29">
        <f t="shared" si="2"/>
        <v>3701.4892026627408</v>
      </c>
    </row>
    <row r="17" spans="1:16" ht="18" customHeight="1" thickBot="1" x14ac:dyDescent="0.35">
      <c r="A17" s="38"/>
      <c r="B17" s="2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18" customHeight="1" thickBot="1" x14ac:dyDescent="0.35">
      <c r="A18" s="43" t="s">
        <v>320</v>
      </c>
      <c r="B18" s="16"/>
      <c r="C18" s="34">
        <f t="shared" ref="C18:P18" si="3">C9+C16</f>
        <v>76.7</v>
      </c>
      <c r="D18" s="34">
        <f t="shared" si="3"/>
        <v>104</v>
      </c>
      <c r="E18" s="34">
        <f t="shared" si="3"/>
        <v>143.9</v>
      </c>
      <c r="F18" s="34">
        <f t="shared" si="3"/>
        <v>247.60000000000002</v>
      </c>
      <c r="G18" s="34">
        <f t="shared" si="3"/>
        <v>364.37156568630138</v>
      </c>
      <c r="H18" s="34">
        <f t="shared" si="3"/>
        <v>484.98845563972611</v>
      </c>
      <c r="I18" s="34">
        <f t="shared" si="3"/>
        <v>651.49557246575353</v>
      </c>
      <c r="J18" s="34">
        <f t="shared" si="3"/>
        <v>873.43493235068513</v>
      </c>
      <c r="K18" s="34">
        <f t="shared" si="3"/>
        <v>1174.3247893232881</v>
      </c>
      <c r="L18" s="34">
        <f t="shared" si="3"/>
        <v>1541.1765273917811</v>
      </c>
      <c r="M18" s="34">
        <f t="shared" si="3"/>
        <v>1981.9396759200004</v>
      </c>
      <c r="N18" s="34">
        <f t="shared" si="3"/>
        <v>2497.7919747024662</v>
      </c>
      <c r="O18" s="34">
        <f t="shared" si="3"/>
        <v>3102.2225181010963</v>
      </c>
      <c r="P18" s="34">
        <f t="shared" si="3"/>
        <v>3782.7292026627406</v>
      </c>
    </row>
    <row r="19" spans="1:16" ht="18" customHeight="1" thickTop="1" x14ac:dyDescent="0.3">
      <c r="A19" s="38"/>
      <c r="B19" s="2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ht="19.95" customHeight="1" x14ac:dyDescent="0.3">
      <c r="A20" s="40" t="s">
        <v>321</v>
      </c>
      <c r="B20" s="14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ht="18" customHeight="1" x14ac:dyDescent="0.3">
      <c r="A21" s="37" t="s">
        <v>322</v>
      </c>
      <c r="B21" s="2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ht="18" customHeight="1" x14ac:dyDescent="0.3">
      <c r="A22" s="38" t="s">
        <v>323</v>
      </c>
      <c r="B22" s="2"/>
      <c r="C22" s="28">
        <v>5.2</v>
      </c>
      <c r="D22" s="28">
        <v>5.2</v>
      </c>
      <c r="E22" s="28">
        <v>5.2</v>
      </c>
      <c r="F22" s="28">
        <v>5.3</v>
      </c>
      <c r="G22" s="28">
        <v>5.3</v>
      </c>
      <c r="H22" s="28">
        <v>5.3</v>
      </c>
      <c r="I22" s="28">
        <v>5.3</v>
      </c>
      <c r="J22" s="28">
        <v>5.3</v>
      </c>
      <c r="K22" s="28">
        <v>5.3</v>
      </c>
      <c r="L22" s="28">
        <v>5.3</v>
      </c>
      <c r="M22" s="28">
        <v>5.3</v>
      </c>
      <c r="N22" s="28">
        <v>5.3</v>
      </c>
      <c r="O22" s="28">
        <v>5.3</v>
      </c>
      <c r="P22" s="28">
        <v>5.3</v>
      </c>
    </row>
    <row r="23" spans="1:16" ht="18" customHeight="1" x14ac:dyDescent="0.3">
      <c r="A23" s="38" t="s">
        <v>324</v>
      </c>
      <c r="B23" s="2"/>
      <c r="C23" s="28">
        <v>22</v>
      </c>
      <c r="D23" s="28">
        <v>28</v>
      </c>
      <c r="E23" s="28">
        <v>55</v>
      </c>
      <c r="F23" s="28">
        <v>95</v>
      </c>
      <c r="G23" s="28">
        <f>F23+'Income Statement'!G24+'Cash Flow'!G23</f>
        <v>142.39142870000001</v>
      </c>
      <c r="H23" s="28">
        <f>G23+'Income Statement'!H24+'Cash Flow'!H23</f>
        <v>215.76585290000006</v>
      </c>
      <c r="I23" s="28">
        <f>H23+'Income Statement'!I24+'Cash Flow'!I23</f>
        <v>330.30023</v>
      </c>
      <c r="J23" s="28">
        <f>I23+'Income Statement'!J24+'Cash Flow'!J23</f>
        <v>495.22143920000019</v>
      </c>
      <c r="K23" s="28">
        <f>J23+'Income Statement'!K24+'Cash Flow'!K23</f>
        <v>724.61602220000043</v>
      </c>
      <c r="L23" s="28">
        <f>K23+'Income Statement'!L24+'Cash Flow'!L23</f>
        <v>1022.1384452000004</v>
      </c>
      <c r="M23" s="28">
        <f>L23+'Income Statement'!M24+'Cash Flow'!M23</f>
        <v>1393.2396759200003</v>
      </c>
      <c r="N23" s="28">
        <f>M23+'Income Statement'!N24+'Cash Flow'!N23</f>
        <v>1842.4553993600002</v>
      </c>
      <c r="O23" s="28">
        <f>N23+'Income Statement'!O24+'Cash Flow'!O23</f>
        <v>2376.3129290600004</v>
      </c>
      <c r="P23" s="28">
        <f>O23+'Income Statement'!P24+'Cash Flow'!P23</f>
        <v>2999.7752300600005</v>
      </c>
    </row>
    <row r="24" spans="1:16" ht="18" customHeight="1" x14ac:dyDescent="0.3">
      <c r="A24" s="39" t="s">
        <v>325</v>
      </c>
      <c r="B24" s="15"/>
      <c r="C24" s="29">
        <f t="shared" ref="C24:P24" si="4">C22+C23</f>
        <v>27.2</v>
      </c>
      <c r="D24" s="29">
        <f t="shared" si="4"/>
        <v>33.200000000000003</v>
      </c>
      <c r="E24" s="29">
        <f t="shared" si="4"/>
        <v>60.2</v>
      </c>
      <c r="F24" s="29">
        <f t="shared" si="4"/>
        <v>100.3</v>
      </c>
      <c r="G24" s="29">
        <f t="shared" si="4"/>
        <v>147.69142870000002</v>
      </c>
      <c r="H24" s="29">
        <f t="shared" si="4"/>
        <v>221.06585290000007</v>
      </c>
      <c r="I24" s="29">
        <f t="shared" si="4"/>
        <v>335.60023000000001</v>
      </c>
      <c r="J24" s="29">
        <f t="shared" si="4"/>
        <v>500.5214392000002</v>
      </c>
      <c r="K24" s="29">
        <f t="shared" si="4"/>
        <v>729.91602220000038</v>
      </c>
      <c r="L24" s="29">
        <f t="shared" si="4"/>
        <v>1027.4384452000004</v>
      </c>
      <c r="M24" s="29">
        <f t="shared" si="4"/>
        <v>1398.5396759200003</v>
      </c>
      <c r="N24" s="29">
        <f t="shared" si="4"/>
        <v>1847.7553993600002</v>
      </c>
      <c r="O24" s="29">
        <f t="shared" si="4"/>
        <v>2381.6129290600006</v>
      </c>
      <c r="P24" s="29">
        <f t="shared" si="4"/>
        <v>3005.0752300600006</v>
      </c>
    </row>
    <row r="25" spans="1:16" ht="18" customHeight="1" x14ac:dyDescent="0.3">
      <c r="A25" s="38" t="s">
        <v>105</v>
      </c>
      <c r="B25" s="2"/>
      <c r="C25" s="28">
        <v>0</v>
      </c>
      <c r="D25" s="28">
        <v>0</v>
      </c>
      <c r="E25" s="28">
        <v>0.5</v>
      </c>
      <c r="F25" s="28">
        <v>2</v>
      </c>
      <c r="G25" s="28">
        <f>F25+1</f>
        <v>3</v>
      </c>
      <c r="H25" s="28">
        <f>G25+1</f>
        <v>4</v>
      </c>
      <c r="I25" s="28">
        <f>H25+1</f>
        <v>5</v>
      </c>
      <c r="J25" s="28">
        <f>I25+2</f>
        <v>7</v>
      </c>
      <c r="K25" s="28">
        <f>J25+2</f>
        <v>9</v>
      </c>
      <c r="L25" s="28">
        <f>K25+2</f>
        <v>11</v>
      </c>
      <c r="M25" s="28">
        <f>L25+2</f>
        <v>13</v>
      </c>
      <c r="N25" s="28">
        <f>M25+3</f>
        <v>16</v>
      </c>
      <c r="O25" s="28">
        <f>N25+3</f>
        <v>19</v>
      </c>
      <c r="P25" s="28">
        <f>O25+3</f>
        <v>22</v>
      </c>
    </row>
    <row r="26" spans="1:16" ht="18" customHeight="1" x14ac:dyDescent="0.3">
      <c r="A26" s="38"/>
      <c r="B26" s="2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 ht="18" customHeight="1" x14ac:dyDescent="0.3">
      <c r="A27" s="37" t="s">
        <v>326</v>
      </c>
      <c r="B27" s="2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</row>
    <row r="28" spans="1:16" ht="18" customHeight="1" x14ac:dyDescent="0.3">
      <c r="A28" s="38" t="s">
        <v>327</v>
      </c>
      <c r="B28" s="2"/>
      <c r="C28" s="28">
        <v>20</v>
      </c>
      <c r="D28" s="28">
        <v>19</v>
      </c>
      <c r="E28" s="28">
        <v>25</v>
      </c>
      <c r="F28" s="28">
        <v>30</v>
      </c>
      <c r="G28" s="28">
        <v>45</v>
      </c>
      <c r="H28" s="28">
        <v>50</v>
      </c>
      <c r="I28" s="28">
        <v>48</v>
      </c>
      <c r="J28" s="28">
        <v>45</v>
      </c>
      <c r="K28" s="28">
        <v>42</v>
      </c>
      <c r="L28" s="28">
        <v>38</v>
      </c>
      <c r="M28" s="28">
        <v>35</v>
      </c>
      <c r="N28" s="28">
        <v>32</v>
      </c>
      <c r="O28" s="28">
        <v>28</v>
      </c>
      <c r="P28" s="28">
        <v>25</v>
      </c>
    </row>
    <row r="29" spans="1:16" ht="18" customHeight="1" x14ac:dyDescent="0.3">
      <c r="A29" s="38" t="s">
        <v>328</v>
      </c>
      <c r="B29" s="2"/>
      <c r="C29" s="28">
        <v>3</v>
      </c>
      <c r="D29" s="28">
        <v>4</v>
      </c>
      <c r="E29" s="28">
        <v>5</v>
      </c>
      <c r="F29" s="28">
        <v>6</v>
      </c>
      <c r="G29" s="28">
        <f t="shared" ref="G29:P29" si="5">F29+1</f>
        <v>7</v>
      </c>
      <c r="H29" s="28">
        <f t="shared" si="5"/>
        <v>8</v>
      </c>
      <c r="I29" s="28">
        <f t="shared" si="5"/>
        <v>9</v>
      </c>
      <c r="J29" s="28">
        <f t="shared" si="5"/>
        <v>10</v>
      </c>
      <c r="K29" s="28">
        <f t="shared" si="5"/>
        <v>11</v>
      </c>
      <c r="L29" s="28">
        <f t="shared" si="5"/>
        <v>12</v>
      </c>
      <c r="M29" s="28">
        <f t="shared" si="5"/>
        <v>13</v>
      </c>
      <c r="N29" s="28">
        <f t="shared" si="5"/>
        <v>14</v>
      </c>
      <c r="O29" s="28">
        <f t="shared" si="5"/>
        <v>15</v>
      </c>
      <c r="P29" s="28">
        <f t="shared" si="5"/>
        <v>16</v>
      </c>
    </row>
    <row r="30" spans="1:16" ht="18" customHeight="1" x14ac:dyDescent="0.3">
      <c r="A30" s="39" t="s">
        <v>329</v>
      </c>
      <c r="B30" s="15"/>
      <c r="C30" s="29">
        <f t="shared" ref="C30:P30" si="6">C28+C29</f>
        <v>23</v>
      </c>
      <c r="D30" s="29">
        <f t="shared" si="6"/>
        <v>23</v>
      </c>
      <c r="E30" s="29">
        <f t="shared" si="6"/>
        <v>30</v>
      </c>
      <c r="F30" s="29">
        <f t="shared" si="6"/>
        <v>36</v>
      </c>
      <c r="G30" s="29">
        <f t="shared" si="6"/>
        <v>52</v>
      </c>
      <c r="H30" s="29">
        <f t="shared" si="6"/>
        <v>58</v>
      </c>
      <c r="I30" s="29">
        <f t="shared" si="6"/>
        <v>57</v>
      </c>
      <c r="J30" s="29">
        <f t="shared" si="6"/>
        <v>55</v>
      </c>
      <c r="K30" s="29">
        <f t="shared" si="6"/>
        <v>53</v>
      </c>
      <c r="L30" s="29">
        <f t="shared" si="6"/>
        <v>50</v>
      </c>
      <c r="M30" s="29">
        <f t="shared" si="6"/>
        <v>48</v>
      </c>
      <c r="N30" s="29">
        <f t="shared" si="6"/>
        <v>46</v>
      </c>
      <c r="O30" s="29">
        <f t="shared" si="6"/>
        <v>43</v>
      </c>
      <c r="P30" s="29">
        <f t="shared" si="6"/>
        <v>41</v>
      </c>
    </row>
    <row r="31" spans="1:16" ht="18" customHeight="1" x14ac:dyDescent="0.3">
      <c r="A31" s="38"/>
      <c r="B31" s="2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ht="18" customHeight="1" x14ac:dyDescent="0.3">
      <c r="A32" s="37" t="s">
        <v>330</v>
      </c>
      <c r="B32" s="2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ht="18" customHeight="1" x14ac:dyDescent="0.3">
      <c r="A33" s="38" t="s">
        <v>331</v>
      </c>
      <c r="B33" s="2"/>
      <c r="C33" s="28">
        <v>10</v>
      </c>
      <c r="D33" s="28">
        <v>12</v>
      </c>
      <c r="E33" s="28">
        <v>15</v>
      </c>
      <c r="F33" s="28">
        <v>16</v>
      </c>
      <c r="G33" s="28">
        <v>20</v>
      </c>
      <c r="H33" s="28">
        <v>18</v>
      </c>
      <c r="I33" s="28">
        <v>15</v>
      </c>
      <c r="J33" s="28">
        <v>12</v>
      </c>
      <c r="K33" s="28">
        <v>8</v>
      </c>
      <c r="L33" s="28">
        <v>5</v>
      </c>
      <c r="M33" s="28">
        <v>3</v>
      </c>
      <c r="N33" s="28">
        <v>2</v>
      </c>
      <c r="O33" s="28">
        <v>1</v>
      </c>
      <c r="P33" s="28">
        <v>0</v>
      </c>
    </row>
    <row r="34" spans="1:16" ht="18" customHeight="1" x14ac:dyDescent="0.3">
      <c r="A34" s="37" t="s">
        <v>332</v>
      </c>
      <c r="B34" s="2"/>
      <c r="C34" s="28">
        <v>8.5</v>
      </c>
      <c r="D34" s="28">
        <v>25.8</v>
      </c>
      <c r="E34" s="28">
        <v>26.2</v>
      </c>
      <c r="F34" s="28">
        <v>54.8</v>
      </c>
      <c r="G34" s="28">
        <f>'Income Statement'!G5*Assumptions!H22/365</f>
        <v>123.63013698630137</v>
      </c>
      <c r="H34" s="28">
        <f>'Income Statement'!H5*Assumptions!I22/365</f>
        <v>163.97260273972603</v>
      </c>
      <c r="I34" s="28">
        <f>'Income Statement'!I5*Assumptions!J22/365</f>
        <v>216.57534246575344</v>
      </c>
      <c r="J34" s="28">
        <f>'Income Statement'!J5*Assumptions!K22/365</f>
        <v>275.06849315068496</v>
      </c>
      <c r="K34" s="28">
        <f>'Income Statement'!K5*Assumptions!L22/365</f>
        <v>348.32876712328766</v>
      </c>
      <c r="L34" s="28">
        <f>'Income Statement'!L5*Assumptions!M22/365</f>
        <v>419.17808219178085</v>
      </c>
      <c r="M34" s="28">
        <f>'Income Statement'!M5*Assumptions!N22/365</f>
        <v>490</v>
      </c>
      <c r="N34" s="28">
        <f>'Income Statement'!N5*Assumptions!O22/365</f>
        <v>554.2465753424658</v>
      </c>
      <c r="O34" s="28">
        <f>'Income Statement'!O5*Assumptions!P22/365</f>
        <v>624.10958904109589</v>
      </c>
      <c r="P34" s="28">
        <f>'Income Statement'!P5*Assumptions!Q22/365</f>
        <v>680.27397260273972</v>
      </c>
    </row>
    <row r="35" spans="1:16" ht="18" customHeight="1" x14ac:dyDescent="0.3">
      <c r="A35" s="38" t="s">
        <v>333</v>
      </c>
      <c r="B35" s="2"/>
      <c r="C35" s="28">
        <v>8</v>
      </c>
      <c r="D35" s="28">
        <v>10</v>
      </c>
      <c r="E35" s="28">
        <v>12</v>
      </c>
      <c r="F35" s="28">
        <v>38.5</v>
      </c>
      <c r="G35" s="28">
        <f>'Income Statement'!G5*Assumptions!H24</f>
        <v>18.05</v>
      </c>
      <c r="H35" s="28">
        <f>'Income Statement'!H5*Assumptions!I24</f>
        <v>19.95</v>
      </c>
      <c r="I35" s="28">
        <f>'Income Statement'!I5*Assumptions!J24</f>
        <v>22.32</v>
      </c>
      <c r="J35" s="28">
        <f>'Income Statement'!J5*Assumptions!K24</f>
        <v>23.844999999999999</v>
      </c>
      <c r="K35" s="28">
        <f>'Income Statement'!K5*Assumptions!L24</f>
        <v>26.080000000000002</v>
      </c>
      <c r="L35" s="28">
        <f>'Income Statement'!L5*Assumptions!M24</f>
        <v>28.560000000000002</v>
      </c>
      <c r="M35" s="28">
        <f>'Income Statement'!M5*Assumptions!N24</f>
        <v>29.400000000000002</v>
      </c>
      <c r="N35" s="28">
        <f>'Income Statement'!N5*Assumptions!O24</f>
        <v>31.79</v>
      </c>
      <c r="O35" s="28">
        <f>'Income Statement'!O5*Assumptions!P24</f>
        <v>33.5</v>
      </c>
      <c r="P35" s="28">
        <f>'Income Statement'!P5*Assumptions!Q24</f>
        <v>34.379999999999995</v>
      </c>
    </row>
    <row r="36" spans="1:16" ht="18" customHeight="1" x14ac:dyDescent="0.3">
      <c r="A36" s="39" t="s">
        <v>334</v>
      </c>
      <c r="B36" s="15"/>
      <c r="C36" s="29">
        <f t="shared" ref="C36:P36" si="7">C33+C34+C35</f>
        <v>26.5</v>
      </c>
      <c r="D36" s="29">
        <f t="shared" si="7"/>
        <v>47.8</v>
      </c>
      <c r="E36" s="29">
        <f t="shared" si="7"/>
        <v>53.2</v>
      </c>
      <c r="F36" s="29">
        <f t="shared" si="7"/>
        <v>109.3</v>
      </c>
      <c r="G36" s="29">
        <f t="shared" si="7"/>
        <v>161.68013698630136</v>
      </c>
      <c r="H36" s="29">
        <f t="shared" si="7"/>
        <v>201.92260273972602</v>
      </c>
      <c r="I36" s="29">
        <f t="shared" si="7"/>
        <v>253.89534246575343</v>
      </c>
      <c r="J36" s="29">
        <f t="shared" si="7"/>
        <v>310.91349315068499</v>
      </c>
      <c r="K36" s="29">
        <f t="shared" si="7"/>
        <v>382.40876712328765</v>
      </c>
      <c r="L36" s="29">
        <f t="shared" si="7"/>
        <v>452.73808219178085</v>
      </c>
      <c r="M36" s="29">
        <f t="shared" si="7"/>
        <v>522.4</v>
      </c>
      <c r="N36" s="29">
        <f t="shared" si="7"/>
        <v>588.03657534246577</v>
      </c>
      <c r="O36" s="29">
        <f t="shared" si="7"/>
        <v>658.60958904109589</v>
      </c>
      <c r="P36" s="29">
        <f t="shared" si="7"/>
        <v>714.65397260273971</v>
      </c>
    </row>
    <row r="37" spans="1:16" ht="18" customHeight="1" thickBot="1" x14ac:dyDescent="0.35">
      <c r="A37" s="38"/>
      <c r="B37" s="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16" ht="18" customHeight="1" thickBot="1" x14ac:dyDescent="0.35">
      <c r="A38" s="43" t="s">
        <v>335</v>
      </c>
      <c r="B38" s="16"/>
      <c r="C38" s="34">
        <f t="shared" ref="C38:P38" si="8">C24+C25+C30+C36</f>
        <v>76.7</v>
      </c>
      <c r="D38" s="34">
        <f t="shared" si="8"/>
        <v>104</v>
      </c>
      <c r="E38" s="34">
        <f t="shared" si="8"/>
        <v>143.9</v>
      </c>
      <c r="F38" s="34">
        <f t="shared" si="8"/>
        <v>247.60000000000002</v>
      </c>
      <c r="G38" s="34">
        <f t="shared" si="8"/>
        <v>364.37156568630138</v>
      </c>
      <c r="H38" s="34">
        <f t="shared" si="8"/>
        <v>484.98845563972611</v>
      </c>
      <c r="I38" s="34">
        <f t="shared" si="8"/>
        <v>651.49557246575341</v>
      </c>
      <c r="J38" s="34">
        <f t="shared" si="8"/>
        <v>873.43493235068524</v>
      </c>
      <c r="K38" s="34">
        <f t="shared" si="8"/>
        <v>1174.3247893232881</v>
      </c>
      <c r="L38" s="34">
        <f t="shared" si="8"/>
        <v>1541.1765273917813</v>
      </c>
      <c r="M38" s="34">
        <f t="shared" si="8"/>
        <v>1981.9396759200004</v>
      </c>
      <c r="N38" s="34">
        <f t="shared" si="8"/>
        <v>2497.7919747024662</v>
      </c>
      <c r="O38" s="34">
        <f t="shared" si="8"/>
        <v>3102.2225181010963</v>
      </c>
      <c r="P38" s="34">
        <f t="shared" si="8"/>
        <v>3782.7292026627401</v>
      </c>
    </row>
    <row r="39" spans="1:16" ht="15" thickTop="1" x14ac:dyDescent="0.3"/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C9F8-DB06-40B6-9DAF-C32613464E34}">
  <dimension ref="A1:P3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4.44140625" customWidth="1"/>
    <col min="2" max="2" width="3.6640625" customWidth="1"/>
    <col min="3" max="16" width="14.44140625" customWidth="1"/>
  </cols>
  <sheetData>
    <row r="1" spans="1:16" ht="28.05" customHeight="1" x14ac:dyDescent="0.3">
      <c r="A1" s="10" t="s">
        <v>336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2.05" customHeight="1" thickBot="1" x14ac:dyDescent="0.35">
      <c r="A3" s="11"/>
      <c r="B3" s="11"/>
      <c r="C3" s="12" t="s">
        <v>14</v>
      </c>
      <c r="D3" s="12" t="s">
        <v>15</v>
      </c>
      <c r="E3" s="12" t="s">
        <v>16</v>
      </c>
      <c r="F3" s="12" t="s">
        <v>17</v>
      </c>
      <c r="G3" s="13" t="s">
        <v>18</v>
      </c>
      <c r="H3" s="13" t="s">
        <v>19</v>
      </c>
      <c r="I3" s="13" t="s">
        <v>20</v>
      </c>
      <c r="J3" s="13" t="s">
        <v>21</v>
      </c>
      <c r="K3" s="13" t="s">
        <v>22</v>
      </c>
      <c r="L3" s="13" t="s">
        <v>23</v>
      </c>
      <c r="M3" s="13" t="s">
        <v>24</v>
      </c>
      <c r="N3" s="13" t="s">
        <v>25</v>
      </c>
      <c r="O3" s="13" t="s">
        <v>26</v>
      </c>
      <c r="P3" s="13" t="s">
        <v>27</v>
      </c>
    </row>
    <row r="4" spans="1:16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9.95" customHeight="1" x14ac:dyDescent="0.3">
      <c r="A5" s="14" t="s">
        <v>337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ht="18" customHeight="1" x14ac:dyDescent="0.3">
      <c r="A6" s="38" t="s">
        <v>338</v>
      </c>
      <c r="B6" s="2"/>
      <c r="C6" s="28">
        <v>-0.8</v>
      </c>
      <c r="D6" s="28">
        <v>13.2</v>
      </c>
      <c r="E6" s="28">
        <v>26.3</v>
      </c>
      <c r="F6" s="28">
        <v>47.2</v>
      </c>
      <c r="G6" s="28">
        <f>'Income Statement'!G21</f>
        <v>63.997500000000002</v>
      </c>
      <c r="H6" s="28">
        <f>'Income Statement'!H21</f>
        <v>99.085000000000079</v>
      </c>
      <c r="I6" s="28">
        <f>'Income Statement'!I21</f>
        <v>154.6674999999999</v>
      </c>
      <c r="J6" s="28">
        <f>'Income Statement'!J21</f>
        <v>222.71000000000021</v>
      </c>
      <c r="K6" s="28">
        <f>'Income Statement'!K21</f>
        <v>309.77500000000038</v>
      </c>
      <c r="L6" s="28">
        <f>'Income Statement'!L21</f>
        <v>401.77499999999998</v>
      </c>
      <c r="M6" s="28">
        <f>'Income Statement'!M21</f>
        <v>501.13599999999974</v>
      </c>
      <c r="N6" s="28">
        <f>'Income Statement'!N21</f>
        <v>606.62199999999996</v>
      </c>
      <c r="O6" s="28">
        <f>'Income Statement'!O21</f>
        <v>720.92250000000013</v>
      </c>
      <c r="P6" s="28">
        <f>'Income Statement'!P21</f>
        <v>841.92499999999984</v>
      </c>
    </row>
    <row r="7" spans="1:16" ht="18" customHeight="1" x14ac:dyDescent="0.3">
      <c r="A7" s="38" t="s">
        <v>339</v>
      </c>
      <c r="B7" s="2"/>
      <c r="C7" s="28">
        <v>1.1000000000000001</v>
      </c>
      <c r="D7" s="28">
        <v>1.1000000000000001</v>
      </c>
      <c r="E7" s="28">
        <v>2.8</v>
      </c>
      <c r="F7" s="28">
        <v>4.0999999999999996</v>
      </c>
      <c r="G7" s="28">
        <f>'Income Statement'!G18</f>
        <v>8.5499999999999989</v>
      </c>
      <c r="H7" s="28">
        <f>'Income Statement'!H18</f>
        <v>13.3</v>
      </c>
      <c r="I7" s="28">
        <f>'Income Statement'!I18</f>
        <v>20.459999999999997</v>
      </c>
      <c r="J7" s="28">
        <f>'Income Statement'!J18</f>
        <v>27.61</v>
      </c>
      <c r="K7" s="28">
        <f>'Income Statement'!K18</f>
        <v>34.230000000000004</v>
      </c>
      <c r="L7" s="28">
        <f>'Income Statement'!L18</f>
        <v>40.800000000000004</v>
      </c>
      <c r="M7" s="28">
        <f>'Income Statement'!M18</f>
        <v>46.55</v>
      </c>
      <c r="N7" s="28">
        <f>'Income Statement'!N18</f>
        <v>52.019999999999996</v>
      </c>
      <c r="O7" s="28">
        <f>'Income Statement'!O18</f>
        <v>60.3</v>
      </c>
      <c r="P7" s="28">
        <f>'Income Statement'!P18</f>
        <v>64.94</v>
      </c>
    </row>
    <row r="8" spans="1:16" ht="18" customHeight="1" x14ac:dyDescent="0.3">
      <c r="A8" s="38" t="s">
        <v>340</v>
      </c>
      <c r="B8" s="2"/>
      <c r="C8" s="28">
        <v>1.5</v>
      </c>
      <c r="D8" s="28">
        <v>3.4</v>
      </c>
      <c r="E8" s="28">
        <v>8.1999999999999993</v>
      </c>
      <c r="F8" s="28">
        <v>10.5</v>
      </c>
      <c r="G8" s="28">
        <f>'Income Statement'!G20</f>
        <v>5.8274999999999997</v>
      </c>
      <c r="H8" s="28">
        <f>'Income Statement'!H20</f>
        <v>6.65</v>
      </c>
      <c r="I8" s="28">
        <f>'Income Statement'!I20</f>
        <v>6.2225000000000001</v>
      </c>
      <c r="J8" s="28">
        <f>'Income Statement'!J20</f>
        <v>5.7</v>
      </c>
      <c r="K8" s="28">
        <f>'Income Statement'!K20</f>
        <v>4.8149999999999995</v>
      </c>
      <c r="L8" s="28">
        <f>'Income Statement'!L20</f>
        <v>4.1849999999999996</v>
      </c>
      <c r="M8" s="28">
        <f>'Income Statement'!M20</f>
        <v>3.5639999999999996</v>
      </c>
      <c r="N8" s="28">
        <f>'Income Statement'!N20</f>
        <v>3.1679999999999997</v>
      </c>
      <c r="O8" s="28">
        <f>'Income Statement'!O20</f>
        <v>2.6775000000000002</v>
      </c>
      <c r="P8" s="28">
        <f>'Income Statement'!P20</f>
        <v>2.2950000000000004</v>
      </c>
    </row>
    <row r="9" spans="1:16" ht="18" customHeight="1" x14ac:dyDescent="0.3">
      <c r="A9" s="38" t="s">
        <v>341</v>
      </c>
      <c r="B9" s="2"/>
      <c r="C9" s="28">
        <v>-5</v>
      </c>
      <c r="D9" s="28">
        <v>-10</v>
      </c>
      <c r="E9" s="28">
        <v>-20</v>
      </c>
      <c r="F9" s="28">
        <v>-15</v>
      </c>
      <c r="G9" s="28">
        <f>-(('Balance Sheet'!G13+'Balance Sheet'!G12-'Balance Sheet'!G34)-('Balance Sheet'!F13+'Balance Sheet'!F12-'Balance Sheet'!F34))</f>
        <v>-8.9260273972602704</v>
      </c>
      <c r="H9" s="28">
        <f>-(('Balance Sheet'!H13+'Balance Sheet'!H12-'Balance Sheet'!H34)-('Balance Sheet'!G13+'Balance Sheet'!G12-'Balance Sheet'!G34))</f>
        <v>-26.027397260273958</v>
      </c>
      <c r="I9" s="28">
        <f>-(('Balance Sheet'!I13+'Balance Sheet'!I12-'Balance Sheet'!I34)-('Balance Sheet'!H13+'Balance Sheet'!H12-'Balance Sheet'!H34))</f>
        <v>-40.246575342465775</v>
      </c>
      <c r="J9" s="28">
        <f>-(('Balance Sheet'!J13+'Balance Sheet'!J12-'Balance Sheet'!J34)-('Balance Sheet'!I13+'Balance Sheet'!I12-'Balance Sheet'!I34))</f>
        <v>-44.369863013698563</v>
      </c>
      <c r="K9" s="28">
        <f>-(('Balance Sheet'!K13+'Balance Sheet'!K12-'Balance Sheet'!K34)-('Balance Sheet'!J13+'Balance Sheet'!J12-'Balance Sheet'!J34))</f>
        <v>-50.972602739726085</v>
      </c>
      <c r="L9" s="28">
        <f>-(('Balance Sheet'!L13+'Balance Sheet'!L12-'Balance Sheet'!L34)-('Balance Sheet'!K13+'Balance Sheet'!K12-'Balance Sheet'!K34))</f>
        <v>-54</v>
      </c>
      <c r="M9" s="28">
        <f>-(('Balance Sheet'!M13+'Balance Sheet'!M12-'Balance Sheet'!M34)-('Balance Sheet'!L13+'Balance Sheet'!L12-'Balance Sheet'!L34))</f>
        <v>-47.260273972602818</v>
      </c>
      <c r="N9" s="28">
        <f>-(('Balance Sheet'!N13+'Balance Sheet'!N12-'Balance Sheet'!N34)-('Balance Sheet'!M13+'Balance Sheet'!M12-'Balance Sheet'!M34))</f>
        <v>-44.958904109588957</v>
      </c>
      <c r="O9" s="28">
        <f>-(('Balance Sheet'!O13+'Balance Sheet'!O12-'Balance Sheet'!O34)-('Balance Sheet'!N13+'Balance Sheet'!N12-'Balance Sheet'!N34))</f>
        <v>-40.520547945205408</v>
      </c>
      <c r="P9" s="28">
        <f>-(('Balance Sheet'!P13+'Balance Sheet'!P12-'Balance Sheet'!P34)-('Balance Sheet'!O13+'Balance Sheet'!O12-'Balance Sheet'!O34))</f>
        <v>-34.273972602739718</v>
      </c>
    </row>
    <row r="10" spans="1:16" ht="18" customHeight="1" x14ac:dyDescent="0.3">
      <c r="A10" s="38" t="s">
        <v>342</v>
      </c>
      <c r="B10" s="2"/>
      <c r="C10" s="28">
        <v>-0.1</v>
      </c>
      <c r="D10" s="28">
        <v>-4.4000000000000004</v>
      </c>
      <c r="E10" s="28">
        <v>-5.4</v>
      </c>
      <c r="F10" s="28">
        <v>-10.3</v>
      </c>
      <c r="G10" s="28">
        <f>-'Income Statement'!G23</f>
        <v>-16.127369999999999</v>
      </c>
      <c r="H10" s="28">
        <f>-'Income Statement'!H23</f>
        <v>-24.969420000000021</v>
      </c>
      <c r="I10" s="28">
        <f>-'Income Statement'!I23</f>
        <v>-38.976209999999973</v>
      </c>
      <c r="J10" s="28">
        <f>-'Income Statement'!J23</f>
        <v>-56.12292000000005</v>
      </c>
      <c r="K10" s="28">
        <f>-'Income Statement'!K23</f>
        <v>-78.063300000000098</v>
      </c>
      <c r="L10" s="28">
        <f>-'Income Statement'!L23</f>
        <v>-101.2473</v>
      </c>
      <c r="M10" s="28">
        <f>-'Income Statement'!M23</f>
        <v>-126.28627199999994</v>
      </c>
      <c r="N10" s="28">
        <f>-'Income Statement'!N23</f>
        <v>-152.86874399999999</v>
      </c>
      <c r="O10" s="28">
        <f>-'Income Statement'!O23</f>
        <v>-181.67247000000003</v>
      </c>
      <c r="P10" s="28">
        <f>-'Income Statement'!P23</f>
        <v>-212.16509999999997</v>
      </c>
    </row>
    <row r="11" spans="1:16" ht="18" customHeight="1" x14ac:dyDescent="0.3">
      <c r="A11" s="38"/>
      <c r="B11" s="2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16" ht="18" customHeight="1" x14ac:dyDescent="0.3">
      <c r="A12" s="39" t="s">
        <v>343</v>
      </c>
      <c r="B12" s="15"/>
      <c r="C12" s="29">
        <f t="shared" ref="C12:P12" si="0">C6+C7+C8+C9+C10</f>
        <v>-3.3000000000000003</v>
      </c>
      <c r="D12" s="29">
        <f t="shared" si="0"/>
        <v>3.2999999999999989</v>
      </c>
      <c r="E12" s="29">
        <f t="shared" si="0"/>
        <v>11.899999999999997</v>
      </c>
      <c r="F12" s="29">
        <f t="shared" si="0"/>
        <v>36.5</v>
      </c>
      <c r="G12" s="29">
        <f t="shared" si="0"/>
        <v>53.321602602739731</v>
      </c>
      <c r="H12" s="29">
        <f t="shared" si="0"/>
        <v>68.038182739726096</v>
      </c>
      <c r="I12" s="29">
        <f t="shared" si="0"/>
        <v>102.12721465753415</v>
      </c>
      <c r="J12" s="29">
        <f t="shared" si="0"/>
        <v>155.5272169863016</v>
      </c>
      <c r="K12" s="29">
        <f t="shared" si="0"/>
        <v>219.78409726027422</v>
      </c>
      <c r="L12" s="29">
        <f t="shared" si="0"/>
        <v>291.5127</v>
      </c>
      <c r="M12" s="29">
        <f t="shared" si="0"/>
        <v>377.7034540273969</v>
      </c>
      <c r="N12" s="29">
        <f t="shared" si="0"/>
        <v>463.982351890411</v>
      </c>
      <c r="O12" s="29">
        <f t="shared" si="0"/>
        <v>561.70698205479471</v>
      </c>
      <c r="P12" s="29">
        <f t="shared" si="0"/>
        <v>662.72092739726008</v>
      </c>
    </row>
    <row r="13" spans="1:16" ht="18" customHeight="1" x14ac:dyDescent="0.3">
      <c r="A13" s="38"/>
      <c r="B13" s="2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ht="19.95" customHeight="1" x14ac:dyDescent="0.3">
      <c r="A14" s="40" t="s">
        <v>344</v>
      </c>
      <c r="B14" s="14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8" customHeight="1" x14ac:dyDescent="0.3">
      <c r="A15" s="38" t="s">
        <v>114</v>
      </c>
      <c r="B15" s="2"/>
      <c r="C15" s="28">
        <v>-4</v>
      </c>
      <c r="D15" s="28">
        <v>-3.1</v>
      </c>
      <c r="E15" s="28">
        <v>-5.5</v>
      </c>
      <c r="F15" s="28">
        <v>-23</v>
      </c>
      <c r="G15" s="28">
        <f>-Assumptions!H26</f>
        <v>-55</v>
      </c>
      <c r="H15" s="28">
        <f>-Assumptions!I26</f>
        <v>-45</v>
      </c>
      <c r="I15" s="28">
        <f>-Assumptions!J26</f>
        <v>-35</v>
      </c>
      <c r="J15" s="28">
        <f>-Assumptions!K26</f>
        <v>-30</v>
      </c>
      <c r="K15" s="28">
        <f>-Assumptions!L26</f>
        <v>-28</v>
      </c>
      <c r="L15" s="28">
        <f>-Assumptions!M26</f>
        <v>-30</v>
      </c>
      <c r="M15" s="28">
        <f>-Assumptions!N26</f>
        <v>-32</v>
      </c>
      <c r="N15" s="28">
        <f>-Assumptions!O26</f>
        <v>-35</v>
      </c>
      <c r="O15" s="28">
        <f>-Assumptions!P26</f>
        <v>-38</v>
      </c>
      <c r="P15" s="28">
        <f>-Assumptions!Q26</f>
        <v>-40</v>
      </c>
    </row>
    <row r="16" spans="1:16" ht="18" customHeight="1" x14ac:dyDescent="0.3">
      <c r="A16" s="38" t="s">
        <v>345</v>
      </c>
      <c r="B16" s="2"/>
      <c r="C16" s="28">
        <f>C28-C12-C26-C15</f>
        <v>6.8000000000000007</v>
      </c>
      <c r="D16" s="28">
        <f>D28-D12-D26-D15</f>
        <v>2.2000000000000011</v>
      </c>
      <c r="E16" s="28">
        <f>E28-E12-E26-E15</f>
        <v>-3.9999999999999982</v>
      </c>
      <c r="F16" s="28">
        <f>F28-F12-F26-F15</f>
        <v>-14.700000000000003</v>
      </c>
      <c r="G16" s="28">
        <f t="shared" ref="G16:P16" si="1">G28-G12-G26-G15</f>
        <v>-25.700000000000003</v>
      </c>
      <c r="H16" s="28">
        <f t="shared" si="1"/>
        <v>0.19000000000005457</v>
      </c>
      <c r="I16" s="28">
        <f t="shared" si="1"/>
        <v>0.66000000000008185</v>
      </c>
      <c r="J16" s="28">
        <f t="shared" si="1"/>
        <v>-0.88500000000006906</v>
      </c>
      <c r="K16" s="28">
        <f t="shared" si="1"/>
        <v>-0.50500000000024414</v>
      </c>
      <c r="L16" s="28">
        <f t="shared" si="1"/>
        <v>1.8200000000000678</v>
      </c>
      <c r="M16" s="28">
        <f t="shared" si="1"/>
        <v>-1.6299999999997681</v>
      </c>
      <c r="N16" s="28">
        <f t="shared" si="1"/>
        <v>1.4399999999999977</v>
      </c>
      <c r="O16" s="28">
        <f t="shared" si="1"/>
        <v>1.4600000000000932</v>
      </c>
      <c r="P16" s="28">
        <f t="shared" si="1"/>
        <v>1.4700000000008728</v>
      </c>
    </row>
    <row r="17" spans="1:16" ht="18" customHeight="1" x14ac:dyDescent="0.3">
      <c r="A17" s="38"/>
      <c r="B17" s="2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 ht="18" customHeight="1" x14ac:dyDescent="0.3">
      <c r="A18" s="39" t="s">
        <v>346</v>
      </c>
      <c r="B18" s="15"/>
      <c r="C18" s="29">
        <f t="shared" ref="C18:P18" si="2">C15+C16</f>
        <v>2.8000000000000007</v>
      </c>
      <c r="D18" s="29">
        <f t="shared" si="2"/>
        <v>-0.89999999999999902</v>
      </c>
      <c r="E18" s="29">
        <f t="shared" si="2"/>
        <v>-9.4999999999999982</v>
      </c>
      <c r="F18" s="29">
        <f t="shared" si="2"/>
        <v>-37.700000000000003</v>
      </c>
      <c r="G18" s="29">
        <f t="shared" si="2"/>
        <v>-80.7</v>
      </c>
      <c r="H18" s="29">
        <f t="shared" si="2"/>
        <v>-44.809999999999945</v>
      </c>
      <c r="I18" s="29">
        <f t="shared" si="2"/>
        <v>-34.339999999999918</v>
      </c>
      <c r="J18" s="29">
        <f t="shared" si="2"/>
        <v>-30.885000000000069</v>
      </c>
      <c r="K18" s="29">
        <f t="shared" si="2"/>
        <v>-28.505000000000244</v>
      </c>
      <c r="L18" s="29">
        <f t="shared" si="2"/>
        <v>-28.179999999999932</v>
      </c>
      <c r="M18" s="29">
        <f t="shared" si="2"/>
        <v>-33.629999999999768</v>
      </c>
      <c r="N18" s="29">
        <f t="shared" si="2"/>
        <v>-33.56</v>
      </c>
      <c r="O18" s="29">
        <f t="shared" si="2"/>
        <v>-36.539999999999907</v>
      </c>
      <c r="P18" s="29">
        <f t="shared" si="2"/>
        <v>-38.529999999999127</v>
      </c>
    </row>
    <row r="19" spans="1:16" ht="18" customHeight="1" x14ac:dyDescent="0.3">
      <c r="A19" s="38"/>
      <c r="B19" s="2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spans="1:16" ht="19.95" customHeight="1" x14ac:dyDescent="0.3">
      <c r="A20" s="40" t="s">
        <v>347</v>
      </c>
      <c r="B20" s="14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8" customHeight="1" x14ac:dyDescent="0.3">
      <c r="A21" s="38" t="s">
        <v>348</v>
      </c>
      <c r="B21" s="2"/>
      <c r="C21" s="28">
        <v>2</v>
      </c>
      <c r="D21" s="28">
        <v>5</v>
      </c>
      <c r="E21" s="28">
        <v>8</v>
      </c>
      <c r="F21" s="28">
        <v>10</v>
      </c>
      <c r="G21" s="28">
        <f>('Balance Sheet'!G28+'Balance Sheet'!G33)-('Balance Sheet'!F28+'Balance Sheet'!F33)</f>
        <v>19</v>
      </c>
      <c r="H21" s="28">
        <f>('Balance Sheet'!H28+'Balance Sheet'!H33)-('Balance Sheet'!G28+'Balance Sheet'!G33)</f>
        <v>3</v>
      </c>
      <c r="I21" s="28">
        <f>('Balance Sheet'!I28+'Balance Sheet'!I33)-('Balance Sheet'!H28+'Balance Sheet'!H33)</f>
        <v>-5</v>
      </c>
      <c r="J21" s="28">
        <f>('Balance Sheet'!J28+'Balance Sheet'!J33)-('Balance Sheet'!I28+'Balance Sheet'!I33)</f>
        <v>-6</v>
      </c>
      <c r="K21" s="28">
        <f>('Balance Sheet'!K28+'Balance Sheet'!K33)-('Balance Sheet'!J28+'Balance Sheet'!J33)</f>
        <v>-7</v>
      </c>
      <c r="L21" s="28">
        <f>('Balance Sheet'!L28+'Balance Sheet'!L33)-('Balance Sheet'!K28+'Balance Sheet'!K33)</f>
        <v>-7</v>
      </c>
      <c r="M21" s="28">
        <f>('Balance Sheet'!M28+'Balance Sheet'!M33)-('Balance Sheet'!L28+'Balance Sheet'!L33)</f>
        <v>-5</v>
      </c>
      <c r="N21" s="28">
        <f>('Balance Sheet'!N28+'Balance Sheet'!N33)-('Balance Sheet'!M28+'Balance Sheet'!M33)</f>
        <v>-4</v>
      </c>
      <c r="O21" s="28">
        <f>('Balance Sheet'!O28+'Balance Sheet'!O33)-('Balance Sheet'!N28+'Balance Sheet'!N33)</f>
        <v>-5</v>
      </c>
      <c r="P21" s="28">
        <f>('Balance Sheet'!P28+'Balance Sheet'!P33)-('Balance Sheet'!O28+'Balance Sheet'!O33)</f>
        <v>-4</v>
      </c>
    </row>
    <row r="22" spans="1:16" ht="18" customHeight="1" x14ac:dyDescent="0.3">
      <c r="A22" s="38" t="s">
        <v>349</v>
      </c>
      <c r="B22" s="2"/>
      <c r="C22" s="28">
        <v>-1.5</v>
      </c>
      <c r="D22" s="28">
        <v>-3.4</v>
      </c>
      <c r="E22" s="28">
        <v>-8.1999999999999993</v>
      </c>
      <c r="F22" s="28">
        <v>-10.5</v>
      </c>
      <c r="G22" s="28">
        <f>-'Income Statement'!G20</f>
        <v>-5.8274999999999997</v>
      </c>
      <c r="H22" s="28">
        <f>-'Income Statement'!H20</f>
        <v>-6.65</v>
      </c>
      <c r="I22" s="28">
        <f>-'Income Statement'!I20</f>
        <v>-6.2225000000000001</v>
      </c>
      <c r="J22" s="28">
        <f>-'Income Statement'!J20</f>
        <v>-5.7</v>
      </c>
      <c r="K22" s="28">
        <f>-'Income Statement'!K20</f>
        <v>-4.8149999999999995</v>
      </c>
      <c r="L22" s="28">
        <f>-'Income Statement'!L20</f>
        <v>-4.1849999999999996</v>
      </c>
      <c r="M22" s="28">
        <f>-'Income Statement'!M20</f>
        <v>-3.5639999999999996</v>
      </c>
      <c r="N22" s="28">
        <f>-'Income Statement'!N20</f>
        <v>-3.1679999999999997</v>
      </c>
      <c r="O22" s="28">
        <f>-'Income Statement'!O20</f>
        <v>-2.6775000000000002</v>
      </c>
      <c r="P22" s="28">
        <f>-'Income Statement'!P20</f>
        <v>-2.2950000000000004</v>
      </c>
    </row>
    <row r="23" spans="1:16" ht="18" customHeight="1" x14ac:dyDescent="0.3">
      <c r="A23" s="38" t="s">
        <v>350</v>
      </c>
      <c r="B23" s="2"/>
      <c r="C23" s="28">
        <v>0</v>
      </c>
      <c r="D23" s="28">
        <v>0</v>
      </c>
      <c r="E23" s="28">
        <v>-0.2</v>
      </c>
      <c r="F23" s="28">
        <v>-0.3</v>
      </c>
      <c r="G23" s="28">
        <f>-'Income Statement'!G24*0.01</f>
        <v>-0.47870130000000005</v>
      </c>
      <c r="H23" s="28">
        <f>-'Income Statement'!H24*0.01</f>
        <v>-0.74115580000000048</v>
      </c>
      <c r="I23" s="28">
        <f>-'Income Statement'!I24*0.01</f>
        <v>-1.1569128999999994</v>
      </c>
      <c r="J23" s="28">
        <f>-'Income Statement'!J24*0.01</f>
        <v>-1.6658708000000015</v>
      </c>
      <c r="K23" s="28">
        <f>-'Income Statement'!K24*0.01</f>
        <v>-2.3171170000000028</v>
      </c>
      <c r="L23" s="28">
        <f>-'Income Statement'!L24*0.01</f>
        <v>-3.005277</v>
      </c>
      <c r="M23" s="28">
        <f>-'Income Statement'!M24*0.01</f>
        <v>-3.7484972799999983</v>
      </c>
      <c r="N23" s="28">
        <f>-'Income Statement'!N24*0.01</f>
        <v>-4.5375325599999998</v>
      </c>
      <c r="O23" s="28">
        <f>-'Income Statement'!O24*0.01</f>
        <v>-5.3925003000000018</v>
      </c>
      <c r="P23" s="28">
        <f>-'Income Statement'!P24*0.01</f>
        <v>-6.2975989999999991</v>
      </c>
    </row>
    <row r="24" spans="1:16" ht="18" customHeight="1" x14ac:dyDescent="0.3">
      <c r="A24" s="38" t="s">
        <v>351</v>
      </c>
      <c r="B24" s="2"/>
      <c r="C24" s="28">
        <v>0</v>
      </c>
      <c r="D24" s="28">
        <v>0</v>
      </c>
      <c r="E24" s="28">
        <v>0</v>
      </c>
      <c r="F24" s="28">
        <v>5</v>
      </c>
      <c r="G24" s="28">
        <v>2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</row>
    <row r="25" spans="1:16" ht="18" customHeight="1" x14ac:dyDescent="0.3">
      <c r="A25" s="38"/>
      <c r="B25" s="2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 ht="18" customHeight="1" x14ac:dyDescent="0.3">
      <c r="A26" s="39" t="s">
        <v>352</v>
      </c>
      <c r="B26" s="15"/>
      <c r="C26" s="29">
        <f t="shared" ref="C26:P26" si="3">C21+C22+C23+C24</f>
        <v>0.5</v>
      </c>
      <c r="D26" s="29">
        <f t="shared" si="3"/>
        <v>1.6</v>
      </c>
      <c r="E26" s="29">
        <f t="shared" si="3"/>
        <v>-0.3999999999999993</v>
      </c>
      <c r="F26" s="29">
        <f t="shared" si="3"/>
        <v>4.2</v>
      </c>
      <c r="G26" s="29">
        <f t="shared" si="3"/>
        <v>14.693798699999999</v>
      </c>
      <c r="H26" s="29">
        <f t="shared" si="3"/>
        <v>-4.3911558000000008</v>
      </c>
      <c r="I26" s="29">
        <f t="shared" si="3"/>
        <v>-12.3794129</v>
      </c>
      <c r="J26" s="29">
        <f t="shared" si="3"/>
        <v>-13.365870800000001</v>
      </c>
      <c r="K26" s="29">
        <f t="shared" si="3"/>
        <v>-14.132117000000003</v>
      </c>
      <c r="L26" s="29">
        <f t="shared" si="3"/>
        <v>-14.190276999999998</v>
      </c>
      <c r="M26" s="29">
        <f t="shared" si="3"/>
        <v>-12.312497279999999</v>
      </c>
      <c r="N26" s="29">
        <f t="shared" si="3"/>
        <v>-11.705532559999998</v>
      </c>
      <c r="O26" s="29">
        <f t="shared" si="3"/>
        <v>-13.070000300000002</v>
      </c>
      <c r="P26" s="29">
        <f t="shared" si="3"/>
        <v>-12.592599</v>
      </c>
    </row>
    <row r="27" spans="1:16" ht="18" customHeight="1" thickBot="1" x14ac:dyDescent="0.35">
      <c r="A27" s="38"/>
      <c r="B27" s="2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6" ht="18" customHeight="1" thickBot="1" x14ac:dyDescent="0.35">
      <c r="A28" s="43" t="s">
        <v>353</v>
      </c>
      <c r="B28" s="16"/>
      <c r="C28" s="34">
        <f>'Balance Sheet'!C14-C29</f>
        <v>0</v>
      </c>
      <c r="D28" s="34">
        <f>'Balance Sheet'!D14-D29</f>
        <v>4</v>
      </c>
      <c r="E28" s="34">
        <f>'Balance Sheet'!E14-E29</f>
        <v>2</v>
      </c>
      <c r="F28" s="34">
        <f>'Balance Sheet'!F14-F29</f>
        <v>3</v>
      </c>
      <c r="G28" s="34">
        <f t="shared" ref="G28:P28" si="4">G30-G29</f>
        <v>-12.68459869726027</v>
      </c>
      <c r="H28" s="34">
        <f t="shared" si="4"/>
        <v>18.837026939726151</v>
      </c>
      <c r="I28" s="34">
        <f t="shared" si="4"/>
        <v>55.407801757534237</v>
      </c>
      <c r="J28" s="34">
        <f t="shared" si="4"/>
        <v>111.27634618630152</v>
      </c>
      <c r="K28" s="34">
        <f t="shared" si="4"/>
        <v>177.14698026027398</v>
      </c>
      <c r="L28" s="34">
        <f t="shared" si="4"/>
        <v>249.14242300000006</v>
      </c>
      <c r="M28" s="34">
        <f t="shared" si="4"/>
        <v>331.76095674739713</v>
      </c>
      <c r="N28" s="34">
        <f t="shared" si="4"/>
        <v>418.716819330411</v>
      </c>
      <c r="O28" s="34">
        <f t="shared" si="4"/>
        <v>512.0969817547948</v>
      </c>
      <c r="P28" s="34">
        <f t="shared" si="4"/>
        <v>611.59832839726096</v>
      </c>
    </row>
    <row r="29" spans="1:16" ht="18" customHeight="1" thickTop="1" thickBot="1" x14ac:dyDescent="0.35">
      <c r="A29" s="38" t="s">
        <v>354</v>
      </c>
      <c r="B29" s="2"/>
      <c r="C29" s="28">
        <v>6</v>
      </c>
      <c r="D29" s="28">
        <f>'Balance Sheet'!C14</f>
        <v>6</v>
      </c>
      <c r="E29" s="28">
        <f>'Balance Sheet'!D14</f>
        <v>10</v>
      </c>
      <c r="F29" s="28">
        <f>'Balance Sheet'!E14</f>
        <v>12</v>
      </c>
      <c r="G29" s="28">
        <f>'Balance Sheet'!F14</f>
        <v>15</v>
      </c>
      <c r="H29" s="28">
        <f>'Balance Sheet'!G14</f>
        <v>2.3154013027397298</v>
      </c>
      <c r="I29" s="28">
        <f>'Balance Sheet'!H14</f>
        <v>21.152428242465881</v>
      </c>
      <c r="J29" s="28">
        <f>'Balance Sheet'!I14</f>
        <v>76.560230000000118</v>
      </c>
      <c r="K29" s="28">
        <f>'Balance Sheet'!J14</f>
        <v>187.83657618630164</v>
      </c>
      <c r="L29" s="28">
        <f>'Balance Sheet'!K14</f>
        <v>364.98355644657562</v>
      </c>
      <c r="M29" s="28">
        <f>'Balance Sheet'!L14</f>
        <v>614.12597944657568</v>
      </c>
      <c r="N29" s="28">
        <f>'Balance Sheet'!M14</f>
        <v>945.88693619397282</v>
      </c>
      <c r="O29" s="28">
        <f>'Balance Sheet'!N14</f>
        <v>1364.6037555243838</v>
      </c>
      <c r="P29" s="28">
        <f>'Balance Sheet'!O14</f>
        <v>1876.7007372791786</v>
      </c>
    </row>
    <row r="30" spans="1:16" ht="18" customHeight="1" thickBot="1" x14ac:dyDescent="0.35">
      <c r="A30" s="50" t="s">
        <v>355</v>
      </c>
      <c r="B30" s="48"/>
      <c r="C30" s="32">
        <f>'Balance Sheet'!C14</f>
        <v>6</v>
      </c>
      <c r="D30" s="32">
        <f>'Balance Sheet'!D14</f>
        <v>10</v>
      </c>
      <c r="E30" s="32">
        <f>'Balance Sheet'!E14</f>
        <v>12</v>
      </c>
      <c r="F30" s="32">
        <f>'Balance Sheet'!F14</f>
        <v>15</v>
      </c>
      <c r="G30" s="32">
        <f>'Balance Sheet'!G14</f>
        <v>2.3154013027397298</v>
      </c>
      <c r="H30" s="32">
        <f>'Balance Sheet'!H14</f>
        <v>21.152428242465881</v>
      </c>
      <c r="I30" s="32">
        <f>'Balance Sheet'!I14</f>
        <v>76.560230000000118</v>
      </c>
      <c r="J30" s="32">
        <f>'Balance Sheet'!J14</f>
        <v>187.83657618630164</v>
      </c>
      <c r="K30" s="32">
        <f>'Balance Sheet'!K14</f>
        <v>364.98355644657562</v>
      </c>
      <c r="L30" s="32">
        <f>'Balance Sheet'!L14</f>
        <v>614.12597944657568</v>
      </c>
      <c r="M30" s="32">
        <f>'Balance Sheet'!M14</f>
        <v>945.88693619397282</v>
      </c>
      <c r="N30" s="32">
        <f>'Balance Sheet'!N14</f>
        <v>1364.6037555243838</v>
      </c>
      <c r="O30" s="32">
        <f>'Balance Sheet'!O14</f>
        <v>1876.7007372791786</v>
      </c>
      <c r="P30" s="32">
        <f>'Balance Sheet'!P14</f>
        <v>2488.2990656764396</v>
      </c>
    </row>
    <row r="31" spans="1:16" ht="15" thickTop="1" x14ac:dyDescent="0.3"/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77D6-8BC1-4504-8BF7-82B83E4C6E4F}">
  <dimension ref="A1:O30"/>
  <sheetViews>
    <sheetView showGridLines="0" workbookViewId="0"/>
  </sheetViews>
  <sheetFormatPr defaultRowHeight="14.4" x14ac:dyDescent="0.3"/>
  <cols>
    <col min="1" max="1" width="37" customWidth="1"/>
    <col min="2" max="15" width="15.21875" customWidth="1"/>
  </cols>
  <sheetData>
    <row r="1" spans="1:15" ht="28.05" customHeight="1" x14ac:dyDescent="0.3">
      <c r="A1" s="10" t="s">
        <v>356</v>
      </c>
      <c r="B1" s="10"/>
      <c r="C1" s="10"/>
      <c r="D1" s="10"/>
      <c r="E1" s="10"/>
      <c r="F1" s="10"/>
      <c r="G1" s="10"/>
      <c r="H1" s="10"/>
      <c r="I1" s="10"/>
      <c r="J1" s="10"/>
      <c r="K1" s="139"/>
      <c r="L1" s="139"/>
      <c r="M1" s="139"/>
      <c r="N1" s="139"/>
      <c r="O1" s="139"/>
    </row>
    <row r="2" spans="1:15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5" ht="19.95" customHeight="1" x14ac:dyDescent="0.3">
      <c r="A3" s="14" t="s">
        <v>357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5" ht="22.05" customHeight="1" x14ac:dyDescent="0.3">
      <c r="A5" s="3"/>
      <c r="B5" s="77" t="s">
        <v>14</v>
      </c>
      <c r="C5" s="77" t="s">
        <v>15</v>
      </c>
      <c r="D5" s="77" t="s">
        <v>16</v>
      </c>
      <c r="E5" s="77" t="s">
        <v>17</v>
      </c>
      <c r="F5" s="135" t="s">
        <v>18</v>
      </c>
      <c r="G5" s="135" t="s">
        <v>19</v>
      </c>
      <c r="H5" s="135" t="s">
        <v>20</v>
      </c>
      <c r="I5" s="135" t="s">
        <v>21</v>
      </c>
      <c r="J5" s="135" t="s">
        <v>22</v>
      </c>
      <c r="K5" s="135" t="s">
        <v>23</v>
      </c>
      <c r="L5" s="135" t="s">
        <v>24</v>
      </c>
      <c r="M5" s="135" t="s">
        <v>25</v>
      </c>
      <c r="N5" s="135" t="s">
        <v>26</v>
      </c>
      <c r="O5" s="135" t="s">
        <v>27</v>
      </c>
    </row>
    <row r="6" spans="1:15" ht="18" customHeight="1" x14ac:dyDescent="0.3">
      <c r="A6" s="38" t="s">
        <v>358</v>
      </c>
      <c r="B6" s="28">
        <f>'Balance Sheet'!C28</f>
        <v>20</v>
      </c>
      <c r="C6" s="28">
        <f>'Balance Sheet'!D28</f>
        <v>19</v>
      </c>
      <c r="D6" s="28">
        <f>'Balance Sheet'!E28</f>
        <v>25</v>
      </c>
      <c r="E6" s="28">
        <f>'Balance Sheet'!F28</f>
        <v>30</v>
      </c>
      <c r="F6" s="28">
        <f>'Balance Sheet'!G28</f>
        <v>45</v>
      </c>
      <c r="G6" s="28">
        <f>'Balance Sheet'!H28</f>
        <v>50</v>
      </c>
      <c r="H6" s="28">
        <f>'Balance Sheet'!I28</f>
        <v>48</v>
      </c>
      <c r="I6" s="28">
        <f>'Balance Sheet'!J28</f>
        <v>45</v>
      </c>
      <c r="J6" s="22">
        <f>'Balance Sheet'!K28</f>
        <v>42</v>
      </c>
      <c r="K6" s="55">
        <f>'Balance Sheet'!L28</f>
        <v>38</v>
      </c>
      <c r="L6" s="47">
        <f>'Balance Sheet'!M28</f>
        <v>35</v>
      </c>
      <c r="M6" s="47">
        <f>'Balance Sheet'!N28</f>
        <v>32</v>
      </c>
      <c r="N6" s="47">
        <f>'Balance Sheet'!O28</f>
        <v>28</v>
      </c>
      <c r="O6" s="54">
        <f>'Balance Sheet'!P28</f>
        <v>25</v>
      </c>
    </row>
    <row r="7" spans="1:15" ht="18" customHeight="1" x14ac:dyDescent="0.3">
      <c r="A7" s="38" t="s">
        <v>359</v>
      </c>
      <c r="B7" s="28">
        <f>'Balance Sheet'!C33</f>
        <v>10</v>
      </c>
      <c r="C7" s="28">
        <f>'Balance Sheet'!D33</f>
        <v>12</v>
      </c>
      <c r="D7" s="28">
        <f>'Balance Sheet'!E33</f>
        <v>15</v>
      </c>
      <c r="E7" s="28">
        <f>'Balance Sheet'!F33</f>
        <v>16</v>
      </c>
      <c r="F7" s="28">
        <f>'Balance Sheet'!G33</f>
        <v>20</v>
      </c>
      <c r="G7" s="28">
        <f>'Balance Sheet'!H33</f>
        <v>18</v>
      </c>
      <c r="H7" s="28">
        <f>'Balance Sheet'!I33</f>
        <v>15</v>
      </c>
      <c r="I7" s="28">
        <f>'Balance Sheet'!J33</f>
        <v>12</v>
      </c>
      <c r="J7" s="22">
        <f>'Balance Sheet'!K33</f>
        <v>8</v>
      </c>
      <c r="K7" s="23">
        <f>'Balance Sheet'!L33</f>
        <v>5</v>
      </c>
      <c r="L7" s="28">
        <f>'Balance Sheet'!M33</f>
        <v>3</v>
      </c>
      <c r="M7" s="28">
        <f>'Balance Sheet'!N33</f>
        <v>2</v>
      </c>
      <c r="N7" s="28">
        <f>'Balance Sheet'!O33</f>
        <v>1</v>
      </c>
      <c r="O7" s="22">
        <f>'Balance Sheet'!P33</f>
        <v>0</v>
      </c>
    </row>
    <row r="8" spans="1:15" ht="18" customHeight="1" x14ac:dyDescent="0.3">
      <c r="A8" s="37" t="s">
        <v>360</v>
      </c>
      <c r="B8" s="28">
        <f t="shared" ref="B8:O8" si="0">B6+B7</f>
        <v>30</v>
      </c>
      <c r="C8" s="28">
        <f t="shared" si="0"/>
        <v>31</v>
      </c>
      <c r="D8" s="28">
        <f t="shared" si="0"/>
        <v>40</v>
      </c>
      <c r="E8" s="28">
        <f t="shared" si="0"/>
        <v>46</v>
      </c>
      <c r="F8" s="28">
        <f t="shared" si="0"/>
        <v>65</v>
      </c>
      <c r="G8" s="28">
        <f t="shared" si="0"/>
        <v>68</v>
      </c>
      <c r="H8" s="28">
        <f t="shared" si="0"/>
        <v>63</v>
      </c>
      <c r="I8" s="28">
        <f t="shared" si="0"/>
        <v>57</v>
      </c>
      <c r="J8" s="22">
        <f t="shared" si="0"/>
        <v>50</v>
      </c>
      <c r="K8" s="28">
        <f t="shared" si="0"/>
        <v>43</v>
      </c>
      <c r="L8" s="28">
        <f t="shared" si="0"/>
        <v>38</v>
      </c>
      <c r="M8" s="28">
        <f t="shared" si="0"/>
        <v>34</v>
      </c>
      <c r="N8" s="28">
        <f t="shared" si="0"/>
        <v>29</v>
      </c>
      <c r="O8" s="28">
        <f t="shared" si="0"/>
        <v>25</v>
      </c>
    </row>
    <row r="9" spans="1:15" ht="18" customHeight="1" x14ac:dyDescent="0.3">
      <c r="A9" s="38" t="s">
        <v>361</v>
      </c>
      <c r="B9" s="46">
        <f>'Balance Sheet'!C14</f>
        <v>6</v>
      </c>
      <c r="C9" s="46">
        <f>'Balance Sheet'!D14</f>
        <v>10</v>
      </c>
      <c r="D9" s="46">
        <f>'Balance Sheet'!E14</f>
        <v>12</v>
      </c>
      <c r="E9" s="46">
        <f>'Balance Sheet'!F14</f>
        <v>15</v>
      </c>
      <c r="F9" s="46">
        <f>'Balance Sheet'!G14</f>
        <v>2.3154013027397298</v>
      </c>
      <c r="G9" s="46">
        <f>'Balance Sheet'!H14</f>
        <v>21.152428242465881</v>
      </c>
      <c r="H9" s="46">
        <f>'Balance Sheet'!I14</f>
        <v>76.560230000000118</v>
      </c>
      <c r="I9" s="46">
        <f>'Balance Sheet'!J14</f>
        <v>187.83657618630164</v>
      </c>
      <c r="J9" s="19">
        <f>'Balance Sheet'!K14</f>
        <v>364.98355644657562</v>
      </c>
      <c r="K9" s="20">
        <f>'Balance Sheet'!L14</f>
        <v>614.12597944657568</v>
      </c>
      <c r="L9" s="46">
        <f>'Balance Sheet'!M14</f>
        <v>945.88693619397282</v>
      </c>
      <c r="M9" s="46">
        <f>'Balance Sheet'!N14</f>
        <v>1364.6037555243838</v>
      </c>
      <c r="N9" s="46">
        <f>'Balance Sheet'!O14</f>
        <v>1876.7007372791786</v>
      </c>
      <c r="O9" s="19">
        <f>'Balance Sheet'!P14</f>
        <v>2488.2990656764396</v>
      </c>
    </row>
    <row r="10" spans="1:15" ht="18" customHeight="1" x14ac:dyDescent="0.3">
      <c r="A10" s="39" t="s">
        <v>362</v>
      </c>
      <c r="B10" s="158">
        <f t="shared" ref="B10:O10" si="1">B8-B9</f>
        <v>24</v>
      </c>
      <c r="C10" s="158">
        <f t="shared" si="1"/>
        <v>21</v>
      </c>
      <c r="D10" s="158">
        <f t="shared" si="1"/>
        <v>28</v>
      </c>
      <c r="E10" s="158">
        <f t="shared" si="1"/>
        <v>31</v>
      </c>
      <c r="F10" s="158">
        <f t="shared" si="1"/>
        <v>62.68459869726027</v>
      </c>
      <c r="G10" s="158">
        <f t="shared" si="1"/>
        <v>46.847571757534119</v>
      </c>
      <c r="H10" s="158">
        <f t="shared" si="1"/>
        <v>-13.560230000000118</v>
      </c>
      <c r="I10" s="158">
        <f t="shared" si="1"/>
        <v>-130.83657618630164</v>
      </c>
      <c r="J10" s="21">
        <f t="shared" si="1"/>
        <v>-314.98355644657562</v>
      </c>
      <c r="K10" s="158">
        <f t="shared" si="1"/>
        <v>-571.12597944657568</v>
      </c>
      <c r="L10" s="158">
        <f t="shared" si="1"/>
        <v>-907.88693619397282</v>
      </c>
      <c r="M10" s="158">
        <f t="shared" si="1"/>
        <v>-1330.6037555243838</v>
      </c>
      <c r="N10" s="158">
        <f t="shared" si="1"/>
        <v>-1847.7007372791786</v>
      </c>
      <c r="O10" s="21">
        <f t="shared" si="1"/>
        <v>-2463.2990656764396</v>
      </c>
    </row>
    <row r="11" spans="1:15" ht="18" customHeight="1" x14ac:dyDescent="0.3">
      <c r="A11" s="38" t="s">
        <v>363</v>
      </c>
      <c r="B11" s="154">
        <f>B8/'Balance Sheet'!C24</f>
        <v>1.1029411764705883</v>
      </c>
      <c r="C11" s="154">
        <f>C8/'Balance Sheet'!D24</f>
        <v>0.9337349397590361</v>
      </c>
      <c r="D11" s="154">
        <f>D8/'Balance Sheet'!E24</f>
        <v>0.66445182724252494</v>
      </c>
      <c r="E11" s="154">
        <f>E8/'Balance Sheet'!F24</f>
        <v>0.45862412761714855</v>
      </c>
      <c r="F11" s="154">
        <f>F8/'Balance Sheet'!G24</f>
        <v>0.44010678596678776</v>
      </c>
      <c r="G11" s="154">
        <f>G8/'Balance Sheet'!H24</f>
        <v>0.30760064979714458</v>
      </c>
      <c r="H11" s="154">
        <f>H8/'Balance Sheet'!I24</f>
        <v>0.18772335167946697</v>
      </c>
      <c r="I11" s="154">
        <f>I8/'Balance Sheet'!J24</f>
        <v>0.11388123571910319</v>
      </c>
      <c r="J11" s="78">
        <f>J8/'Balance Sheet'!K24</f>
        <v>6.8501030912155772E-2</v>
      </c>
      <c r="K11" s="155">
        <f>K8/'Balance Sheet'!L24</f>
        <v>4.1851655640187432E-2</v>
      </c>
      <c r="L11" s="156">
        <f>L8/'Balance Sheet'!M24</f>
        <v>2.7171199111675176E-2</v>
      </c>
      <c r="M11" s="156">
        <f>M8/'Balance Sheet'!N24</f>
        <v>1.8400703909065261E-2</v>
      </c>
      <c r="N11" s="156">
        <f>N8/'Balance Sheet'!O24</f>
        <v>1.2176621837305031E-2</v>
      </c>
      <c r="O11" s="157">
        <f>O8/'Balance Sheet'!P24</f>
        <v>8.3192592817387927E-3</v>
      </c>
    </row>
    <row r="12" spans="1:15" ht="18" customHeight="1" x14ac:dyDescent="0.3">
      <c r="A12" s="38"/>
      <c r="B12" s="2"/>
      <c r="C12" s="2"/>
      <c r="D12" s="2"/>
      <c r="E12" s="2"/>
      <c r="F12" s="2"/>
      <c r="G12" s="2"/>
      <c r="H12" s="2"/>
      <c r="I12" s="2"/>
      <c r="J12" s="2"/>
      <c r="K12" s="25"/>
      <c r="L12" s="30"/>
      <c r="M12" s="30"/>
      <c r="N12" s="30"/>
      <c r="O12" s="24"/>
    </row>
    <row r="13" spans="1:15" ht="18" customHeight="1" x14ac:dyDescent="0.3">
      <c r="A13" s="38"/>
      <c r="B13" s="2"/>
      <c r="C13" s="2"/>
      <c r="D13" s="2"/>
      <c r="E13" s="2"/>
      <c r="F13" s="2"/>
      <c r="G13" s="2"/>
      <c r="H13" s="2"/>
      <c r="I13" s="2"/>
      <c r="J13" s="2"/>
      <c r="K13" s="25"/>
      <c r="L13" s="30"/>
      <c r="M13" s="30"/>
      <c r="N13" s="30"/>
      <c r="O13" s="24"/>
    </row>
    <row r="14" spans="1:15" ht="18" customHeight="1" x14ac:dyDescent="0.3">
      <c r="A14" s="40" t="s">
        <v>364</v>
      </c>
      <c r="B14" s="14"/>
      <c r="C14" s="14"/>
      <c r="D14" s="14"/>
      <c r="E14" s="14"/>
      <c r="F14" s="14"/>
      <c r="G14" s="14"/>
      <c r="H14" s="14"/>
      <c r="I14" s="14"/>
      <c r="J14" s="14"/>
      <c r="K14" s="27"/>
      <c r="L14" s="31"/>
      <c r="M14" s="31"/>
      <c r="N14" s="31"/>
      <c r="O14" s="26"/>
    </row>
    <row r="15" spans="1:15" ht="18" customHeight="1" x14ac:dyDescent="0.3">
      <c r="A15" s="38"/>
      <c r="B15" s="2"/>
      <c r="C15" s="2"/>
      <c r="D15" s="2"/>
      <c r="E15" s="2"/>
      <c r="F15" s="2"/>
      <c r="G15" s="2"/>
      <c r="H15" s="2"/>
      <c r="I15" s="2"/>
      <c r="J15" s="2"/>
      <c r="K15" s="25"/>
      <c r="L15" s="30"/>
      <c r="M15" s="30"/>
      <c r="N15" s="30"/>
      <c r="O15" s="24"/>
    </row>
    <row r="16" spans="1:15" ht="18" customHeight="1" x14ac:dyDescent="0.3">
      <c r="A16" s="37"/>
      <c r="B16" s="8" t="s">
        <v>14</v>
      </c>
      <c r="C16" s="8" t="s">
        <v>15</v>
      </c>
      <c r="D16" s="8" t="s">
        <v>16</v>
      </c>
      <c r="E16" s="8" t="s">
        <v>17</v>
      </c>
      <c r="F16" s="159" t="s">
        <v>18</v>
      </c>
      <c r="G16" s="159" t="s">
        <v>19</v>
      </c>
      <c r="H16" s="159" t="s">
        <v>20</v>
      </c>
      <c r="I16" s="159" t="s">
        <v>21</v>
      </c>
      <c r="J16" s="159" t="s">
        <v>22</v>
      </c>
      <c r="K16" s="136" t="s">
        <v>23</v>
      </c>
      <c r="L16" s="137" t="s">
        <v>24</v>
      </c>
      <c r="M16" s="137" t="s">
        <v>25</v>
      </c>
      <c r="N16" s="137" t="s">
        <v>26</v>
      </c>
      <c r="O16" s="138" t="s">
        <v>27</v>
      </c>
    </row>
    <row r="17" spans="1:15" ht="18" customHeight="1" x14ac:dyDescent="0.3">
      <c r="A17" s="38" t="s">
        <v>52</v>
      </c>
      <c r="B17" s="75">
        <f>Assumptions!D20</f>
        <v>210</v>
      </c>
      <c r="C17" s="75">
        <f>Assumptions!E20</f>
        <v>167</v>
      </c>
      <c r="D17" s="75">
        <f>Assumptions!F20</f>
        <v>185</v>
      </c>
      <c r="E17" s="75">
        <f>Assumptions!G20</f>
        <v>170</v>
      </c>
      <c r="F17" s="75">
        <f>Assumptions!H20</f>
        <v>155</v>
      </c>
      <c r="G17" s="75">
        <f>Assumptions!I20</f>
        <v>140</v>
      </c>
      <c r="H17" s="75">
        <f>Assumptions!J20</f>
        <v>130</v>
      </c>
      <c r="I17" s="75">
        <f>Assumptions!K20</f>
        <v>120</v>
      </c>
      <c r="J17" s="75">
        <f>Assumptions!L20</f>
        <v>115</v>
      </c>
      <c r="K17" s="143">
        <f>Assumptions!M20</f>
        <v>110</v>
      </c>
      <c r="L17" s="144">
        <f>Assumptions!N20</f>
        <v>105</v>
      </c>
      <c r="M17" s="144">
        <f>Assumptions!O20</f>
        <v>100</v>
      </c>
      <c r="N17" s="144">
        <f>Assumptions!P20</f>
        <v>95</v>
      </c>
      <c r="O17" s="145">
        <f>Assumptions!Q20</f>
        <v>90</v>
      </c>
    </row>
    <row r="18" spans="1:15" ht="18" customHeight="1" x14ac:dyDescent="0.3">
      <c r="A18" s="38" t="s">
        <v>54</v>
      </c>
      <c r="B18" s="75">
        <f>Assumptions!D21</f>
        <v>28</v>
      </c>
      <c r="C18" s="75">
        <f>Assumptions!E21</f>
        <v>33</v>
      </c>
      <c r="D18" s="75">
        <f>Assumptions!F21</f>
        <v>35</v>
      </c>
      <c r="E18" s="75">
        <f>Assumptions!G21</f>
        <v>30</v>
      </c>
      <c r="F18" s="75">
        <f>Assumptions!H21</f>
        <v>32</v>
      </c>
      <c r="G18" s="75">
        <f>Assumptions!I21</f>
        <v>30</v>
      </c>
      <c r="H18" s="75">
        <f>Assumptions!J21</f>
        <v>28</v>
      </c>
      <c r="I18" s="75">
        <f>Assumptions!K21</f>
        <v>27</v>
      </c>
      <c r="J18" s="75">
        <f>Assumptions!L21</f>
        <v>26</v>
      </c>
      <c r="K18" s="143">
        <f>Assumptions!M21</f>
        <v>25</v>
      </c>
      <c r="L18" s="144">
        <f>Assumptions!N21</f>
        <v>25</v>
      </c>
      <c r="M18" s="144">
        <f>Assumptions!O21</f>
        <v>24</v>
      </c>
      <c r="N18" s="144">
        <f>Assumptions!P21</f>
        <v>24</v>
      </c>
      <c r="O18" s="145">
        <f>Assumptions!Q21</f>
        <v>23</v>
      </c>
    </row>
    <row r="19" spans="1:15" ht="18" customHeight="1" x14ac:dyDescent="0.3">
      <c r="A19" s="38" t="s">
        <v>56</v>
      </c>
      <c r="B19" s="75">
        <f>Assumptions!D22</f>
        <v>85</v>
      </c>
      <c r="C19" s="75">
        <f>Assumptions!E22</f>
        <v>95</v>
      </c>
      <c r="D19" s="75">
        <f>Assumptions!F22</f>
        <v>100</v>
      </c>
      <c r="E19" s="75">
        <f>Assumptions!G22</f>
        <v>90</v>
      </c>
      <c r="F19" s="75">
        <f>Assumptions!H22</f>
        <v>95</v>
      </c>
      <c r="G19" s="75">
        <f>Assumptions!I22</f>
        <v>90</v>
      </c>
      <c r="H19" s="75">
        <f>Assumptions!J22</f>
        <v>85</v>
      </c>
      <c r="I19" s="75">
        <f>Assumptions!K22</f>
        <v>80</v>
      </c>
      <c r="J19" s="75">
        <f>Assumptions!L22</f>
        <v>78</v>
      </c>
      <c r="K19" s="148">
        <f>Assumptions!M22</f>
        <v>75</v>
      </c>
      <c r="L19" s="149">
        <f>Assumptions!N22</f>
        <v>73</v>
      </c>
      <c r="M19" s="149">
        <f>Assumptions!O22</f>
        <v>70</v>
      </c>
      <c r="N19" s="149">
        <f>Assumptions!P22</f>
        <v>68</v>
      </c>
      <c r="O19" s="150">
        <f>Assumptions!Q22</f>
        <v>65</v>
      </c>
    </row>
    <row r="20" spans="1:15" ht="18" customHeight="1" x14ac:dyDescent="0.3">
      <c r="A20" s="39" t="s">
        <v>365</v>
      </c>
      <c r="B20" s="76">
        <f t="shared" ref="B20:O20" si="2">B17+B18-B19</f>
        <v>153</v>
      </c>
      <c r="C20" s="76">
        <f t="shared" si="2"/>
        <v>105</v>
      </c>
      <c r="D20" s="76">
        <f t="shared" si="2"/>
        <v>120</v>
      </c>
      <c r="E20" s="76">
        <f t="shared" si="2"/>
        <v>110</v>
      </c>
      <c r="F20" s="76">
        <f t="shared" si="2"/>
        <v>92</v>
      </c>
      <c r="G20" s="76">
        <f t="shared" si="2"/>
        <v>80</v>
      </c>
      <c r="H20" s="76">
        <f t="shared" si="2"/>
        <v>73</v>
      </c>
      <c r="I20" s="76">
        <f t="shared" si="2"/>
        <v>67</v>
      </c>
      <c r="J20" s="76">
        <f t="shared" si="2"/>
        <v>63</v>
      </c>
      <c r="K20" s="151">
        <f t="shared" si="2"/>
        <v>60</v>
      </c>
      <c r="L20" s="152">
        <f t="shared" si="2"/>
        <v>57</v>
      </c>
      <c r="M20" s="152">
        <f t="shared" si="2"/>
        <v>54</v>
      </c>
      <c r="N20" s="152">
        <f t="shared" si="2"/>
        <v>51</v>
      </c>
      <c r="O20" s="153">
        <f t="shared" si="2"/>
        <v>48</v>
      </c>
    </row>
    <row r="21" spans="1:15" ht="18" customHeight="1" x14ac:dyDescent="0.3">
      <c r="A21" s="38" t="s">
        <v>366</v>
      </c>
      <c r="B21" s="7">
        <f>('Balance Sheet'!C13+'Balance Sheet'!C12-'Balance Sheet'!C34)/'Income Statement'!C5</f>
        <v>0.44075829383886256</v>
      </c>
      <c r="C21" s="7">
        <f>('Balance Sheet'!D13+'Balance Sheet'!D12-'Balance Sheet'!D34)/'Income Statement'!D5</f>
        <v>0.32322426177174779</v>
      </c>
      <c r="D21" s="7">
        <f>('Balance Sheet'!E13+'Balance Sheet'!E12-'Balance Sheet'!E34)/'Income Statement'!E5</f>
        <v>0.40845886442641949</v>
      </c>
      <c r="E21" s="7">
        <f>('Balance Sheet'!F13+'Balance Sheet'!F12-'Balance Sheet'!F34)/'Income Statement'!F5</f>
        <v>0.35030034777110347</v>
      </c>
      <c r="F21" s="7">
        <f>('Balance Sheet'!G13+'Balance Sheet'!G12-'Balance Sheet'!G34)/'Income Statement'!G5</f>
        <v>0.25205479452054796</v>
      </c>
      <c r="G21" s="7">
        <f>('Balance Sheet'!H13+'Balance Sheet'!H12-'Balance Sheet'!H34)/'Income Statement'!H5</f>
        <v>0.21917808219178084</v>
      </c>
      <c r="H21" s="7">
        <f>('Balance Sheet'!I13+'Balance Sheet'!I12-'Balance Sheet'!I34)/'Income Statement'!I5</f>
        <v>0.20000000000000004</v>
      </c>
      <c r="I21" s="7">
        <f>('Balance Sheet'!J13+'Balance Sheet'!J12-'Balance Sheet'!J34)/'Income Statement'!J5</f>
        <v>0.18356164383561641</v>
      </c>
      <c r="J21" s="7">
        <f>('Balance Sheet'!K13+'Balance Sheet'!K12-'Balance Sheet'!K34)/'Income Statement'!K5</f>
        <v>0.17260273972602741</v>
      </c>
      <c r="K21" s="63">
        <f>('Balance Sheet'!L13+'Balance Sheet'!L12-'Balance Sheet'!L34)/'Income Statement'!L5</f>
        <v>0.16438356164383564</v>
      </c>
      <c r="L21" s="147">
        <f>('Balance Sheet'!M13+'Balance Sheet'!M12-'Balance Sheet'!M34)/'Income Statement'!M5</f>
        <v>0.15616438356164389</v>
      </c>
      <c r="M21" s="147">
        <f>('Balance Sheet'!N13+'Balance Sheet'!N12-'Balance Sheet'!N34)/'Income Statement'!N5</f>
        <v>0.14794520547945206</v>
      </c>
      <c r="N21" s="147">
        <f>('Balance Sheet'!O13+'Balance Sheet'!O12-'Balance Sheet'!O34)/'Income Statement'!O5</f>
        <v>0.13972602739726026</v>
      </c>
      <c r="O21" s="70">
        <f>('Balance Sheet'!P13+'Balance Sheet'!P12-'Balance Sheet'!P34)/'Income Statement'!P5</f>
        <v>0.13150684931506848</v>
      </c>
    </row>
    <row r="22" spans="1:15" ht="18" customHeight="1" x14ac:dyDescent="0.3">
      <c r="A22" s="38"/>
      <c r="B22" s="2"/>
      <c r="C22" s="2"/>
      <c r="D22" s="2"/>
      <c r="E22" s="2"/>
      <c r="F22" s="2"/>
      <c r="G22" s="2"/>
      <c r="H22" s="2"/>
      <c r="I22" s="2"/>
      <c r="J22" s="2"/>
      <c r="K22" s="25"/>
      <c r="L22" s="30"/>
      <c r="M22" s="30"/>
      <c r="N22" s="30"/>
      <c r="O22" s="24"/>
    </row>
    <row r="23" spans="1:15" ht="18" customHeight="1" x14ac:dyDescent="0.3">
      <c r="A23" s="38"/>
      <c r="B23" s="2"/>
      <c r="C23" s="2"/>
      <c r="D23" s="2"/>
      <c r="E23" s="2"/>
      <c r="F23" s="2"/>
      <c r="G23" s="2"/>
      <c r="H23" s="2"/>
      <c r="I23" s="2"/>
      <c r="J23" s="2"/>
      <c r="K23" s="25"/>
      <c r="L23" s="30"/>
      <c r="M23" s="30"/>
      <c r="N23" s="30"/>
      <c r="O23" s="24"/>
    </row>
    <row r="24" spans="1:15" ht="18" customHeight="1" x14ac:dyDescent="0.3">
      <c r="A24" s="40" t="s">
        <v>367</v>
      </c>
      <c r="B24" s="14"/>
      <c r="C24" s="14"/>
      <c r="D24" s="14"/>
      <c r="E24" s="14"/>
      <c r="F24" s="14"/>
      <c r="G24" s="14"/>
      <c r="H24" s="14"/>
      <c r="I24" s="14"/>
      <c r="J24" s="14"/>
      <c r="K24" s="27"/>
      <c r="L24" s="31"/>
      <c r="M24" s="31"/>
      <c r="N24" s="31"/>
      <c r="O24" s="26"/>
    </row>
    <row r="25" spans="1:15" ht="18" customHeight="1" x14ac:dyDescent="0.3">
      <c r="A25" s="38"/>
      <c r="B25" s="2"/>
      <c r="C25" s="2"/>
      <c r="D25" s="2"/>
      <c r="E25" s="2"/>
      <c r="F25" s="2"/>
      <c r="G25" s="2"/>
      <c r="H25" s="2"/>
      <c r="I25" s="2"/>
      <c r="J25" s="2"/>
      <c r="K25" s="25"/>
      <c r="L25" s="30"/>
      <c r="M25" s="30"/>
      <c r="N25" s="30"/>
      <c r="O25" s="24"/>
    </row>
    <row r="26" spans="1:15" ht="18" customHeight="1" x14ac:dyDescent="0.3">
      <c r="A26" s="37"/>
      <c r="B26" s="8" t="s">
        <v>14</v>
      </c>
      <c r="C26" s="8" t="s">
        <v>15</v>
      </c>
      <c r="D26" s="8" t="s">
        <v>16</v>
      </c>
      <c r="E26" s="8" t="s">
        <v>17</v>
      </c>
      <c r="F26" s="159" t="s">
        <v>18</v>
      </c>
      <c r="G26" s="159" t="s">
        <v>19</v>
      </c>
      <c r="H26" s="159" t="s">
        <v>20</v>
      </c>
      <c r="I26" s="159" t="s">
        <v>21</v>
      </c>
      <c r="J26" s="159" t="s">
        <v>22</v>
      </c>
      <c r="K26" s="136" t="s">
        <v>23</v>
      </c>
      <c r="L26" s="137" t="s">
        <v>24</v>
      </c>
      <c r="M26" s="137" t="s">
        <v>25</v>
      </c>
      <c r="N26" s="137" t="s">
        <v>26</v>
      </c>
      <c r="O26" s="138" t="s">
        <v>27</v>
      </c>
    </row>
    <row r="27" spans="1:15" ht="18" customHeight="1" x14ac:dyDescent="0.3">
      <c r="A27" s="38" t="s">
        <v>368</v>
      </c>
      <c r="B27" s="7">
        <f>'Income Statement'!C24/(('Balance Sheet'!C24))</f>
        <v>-5.1470588235293969E-2</v>
      </c>
      <c r="C27" s="7">
        <f>'Income Statement'!D24/(('Balance Sheet'!C24+'Balance Sheet'!D24)/2)</f>
        <v>0.15894039735099297</v>
      </c>
      <c r="D27" s="7">
        <f>'Income Statement'!E24/(('Balance Sheet'!D24+'Balance Sheet'!E24)/2)</f>
        <v>0.81370449678800871</v>
      </c>
      <c r="E27" s="7">
        <f>'Income Statement'!F24/(('Balance Sheet'!E24+'Balance Sheet'!F24)/2)</f>
        <v>0.4560747663551401</v>
      </c>
      <c r="F27" s="7">
        <f>'Income Statement'!G24/(('Balance Sheet'!F24+'Balance Sheet'!G24)/2)</f>
        <v>0.3860627784673108</v>
      </c>
      <c r="G27" s="7">
        <f>'Income Statement'!H24/(('Balance Sheet'!G24+'Balance Sheet'!H24)/2)</f>
        <v>0.40197486909774444</v>
      </c>
      <c r="H27" s="7">
        <f>'Income Statement'!I24/(('Balance Sheet'!H24+'Balance Sheet'!I24)/2)</f>
        <v>0.4156577652343974</v>
      </c>
      <c r="I27" s="7">
        <f>'Income Statement'!J24/(('Balance Sheet'!I24+'Balance Sheet'!J24)/2)</f>
        <v>0.39847569112612613</v>
      </c>
      <c r="J27" s="7">
        <f>'Income Statement'!K24/(('Balance Sheet'!J24+'Balance Sheet'!K24)/2)</f>
        <v>0.37663303868586229</v>
      </c>
      <c r="K27" s="64">
        <f>'Income Statement'!L24/(('Balance Sheet'!K24+'Balance Sheet'!L24)/2)</f>
        <v>0.34202285944580041</v>
      </c>
      <c r="L27" s="67">
        <f>'Income Statement'!M24/(('Balance Sheet'!L24+'Balance Sheet'!M24)/2)</f>
        <v>0.30902976802358217</v>
      </c>
      <c r="M27" s="67">
        <f>'Income Statement'!N24/(('Balance Sheet'!M24+'Balance Sheet'!N24)/2)</f>
        <v>0.27955145510662655</v>
      </c>
      <c r="N27" s="67">
        <f>'Income Statement'!O24/(('Balance Sheet'!N24+'Balance Sheet'!O24)/2)</f>
        <v>0.25500263307710169</v>
      </c>
      <c r="O27" s="71">
        <f>'Income Statement'!P24/(('Balance Sheet'!O24+'Balance Sheet'!P24)/2)</f>
        <v>0.23382081211951236</v>
      </c>
    </row>
    <row r="28" spans="1:15" ht="18" customHeight="1" x14ac:dyDescent="0.3">
      <c r="A28" s="38" t="s">
        <v>369</v>
      </c>
      <c r="B28" s="7">
        <f>'Income Statement'!C19/('Balance Sheet'!C24+'Balance Sheet'!C28+'Balance Sheet'!C33-'Balance Sheet'!C14)</f>
        <v>3.9062500000000815E-3</v>
      </c>
      <c r="C28" s="7">
        <f>'Income Statement'!D19/(('Balance Sheet'!C24+'Balance Sheet'!C28+'Balance Sheet'!C33-'Balance Sheet'!C14+'Balance Sheet'!D24+'Balance Sheet'!D28+'Balance Sheet'!D33-'Balance Sheet'!D14)/2)</f>
        <v>0.23908918406072083</v>
      </c>
      <c r="D28" s="7">
        <f>'Income Statement'!E19/(('Balance Sheet'!D24+'Balance Sheet'!D28+'Balance Sheet'!D33-'Balance Sheet'!D14+'Balance Sheet'!E24+'Balance Sheet'!E28+'Balance Sheet'!E33-'Balance Sheet'!E14)/2)</f>
        <v>0.72471910112359561</v>
      </c>
      <c r="E28" s="7">
        <f>'Income Statement'!F19/(('Balance Sheet'!E24+'Balance Sheet'!E28+'Balance Sheet'!E33-'Balance Sheet'!E14+'Balance Sheet'!F24+'Balance Sheet'!F28+'Balance Sheet'!F33-'Balance Sheet'!F14)/2)</f>
        <v>0.52300683371298406</v>
      </c>
      <c r="F28" s="7">
        <f>'Income Statement'!G19/('Balance Sheet'!G24+'Balance Sheet'!G28+'Balance Sheet'!G33-'Balance Sheet'!G14)</f>
        <v>0.33190568746764598</v>
      </c>
      <c r="G28" s="7">
        <f>'Income Statement'!H19/('Balance Sheet'!H24+'Balance Sheet'!H28+'Balance Sheet'!H33-'Balance Sheet'!H14)</f>
        <v>0.3946610743196538</v>
      </c>
      <c r="H28" s="7">
        <f>'Income Statement'!I19/('Balance Sheet'!I24+'Balance Sheet'!I28+'Balance Sheet'!I33-'Balance Sheet'!I14)</f>
        <v>0.49959632343808208</v>
      </c>
      <c r="I28" s="7">
        <f>'Income Statement'!J19/('Balance Sheet'!J24+'Balance Sheet'!J28+'Balance Sheet'!J33-'Balance Sheet'!J14)</f>
        <v>0.61785056098317037</v>
      </c>
      <c r="J28" s="7">
        <f>'Income Statement'!K19/('Balance Sheet'!K24+'Balance Sheet'!K28+'Balance Sheet'!K33-'Balance Sheet'!K14)</f>
        <v>0.75817157239980038</v>
      </c>
      <c r="K28" s="64">
        <f>'Income Statement'!L19/('Balance Sheet'!L24+'Balance Sheet'!L28+'Balance Sheet'!L33-'Balance Sheet'!L14)</f>
        <v>0.889653538896232</v>
      </c>
      <c r="L28" s="67">
        <f>'Income Statement'!M19/('Balance Sheet'!M24+'Balance Sheet'!M28+'Balance Sheet'!M33-'Balance Sheet'!M14)</f>
        <v>1.0286297398070499</v>
      </c>
      <c r="M28" s="67">
        <f>'Income Statement'!N19/('Balance Sheet'!N24+'Balance Sheet'!N28+'Balance Sheet'!N33-'Balance Sheet'!N14)</f>
        <v>1.1791318992574449</v>
      </c>
      <c r="N28" s="67">
        <f>'Income Statement'!O19/('Balance Sheet'!O24+'Balance Sheet'!O28+'Balance Sheet'!O33-'Balance Sheet'!O14)</f>
        <v>1.355279034903641</v>
      </c>
      <c r="O28" s="71">
        <f>'Income Statement'!P19/('Balance Sheet'!P24+'Balance Sheet'!P28+'Balance Sheet'!P33-'Balance Sheet'!P14)</f>
        <v>1.5582450013476741</v>
      </c>
    </row>
    <row r="29" spans="1:15" ht="18" customHeight="1" x14ac:dyDescent="0.3">
      <c r="A29" s="38" t="s">
        <v>370</v>
      </c>
      <c r="B29" s="7">
        <f>'Income Statement'!C24/'Balance Sheet'!C18</f>
        <v>-1.8252933507170742E-2</v>
      </c>
      <c r="C29" s="7">
        <f>'Income Statement'!D24/(('Balance Sheet'!C18+'Balance Sheet'!D18)/2)</f>
        <v>5.3126729385722063E-2</v>
      </c>
      <c r="D29" s="7">
        <f>'Income Statement'!E24/(('Balance Sheet'!D18+'Balance Sheet'!E18)/2)</f>
        <v>0.30657523194836633</v>
      </c>
      <c r="E29" s="7">
        <f>'Income Statement'!F24/(('Balance Sheet'!E18+'Balance Sheet'!F18)/2)</f>
        <v>0.18697318007662833</v>
      </c>
      <c r="F29" s="7">
        <f>'Income Statement'!G24/(('Balance Sheet'!F18+'Balance Sheet'!G18)/2)</f>
        <v>0.15644560199889546</v>
      </c>
      <c r="G29" s="7">
        <f>'Income Statement'!H24/(('Balance Sheet'!G18+'Balance Sheet'!H18)/2)</f>
        <v>0.17452099966817425</v>
      </c>
      <c r="H29" s="7">
        <f>'Income Statement'!I24/(('Balance Sheet'!H18+'Balance Sheet'!I18)/2)</f>
        <v>0.20359510057146593</v>
      </c>
      <c r="I29" s="7">
        <f>'Income Statement'!J24/(('Balance Sheet'!I18+'Balance Sheet'!J18)/2)</f>
        <v>0.21848481550318627</v>
      </c>
      <c r="J29" s="7">
        <f>'Income Statement'!K24/(('Balance Sheet'!J18+'Balance Sheet'!K18)/2)</f>
        <v>0.22630750819786996</v>
      </c>
      <c r="K29" s="64">
        <f>'Income Statement'!L24/(('Balance Sheet'!K18+'Balance Sheet'!L18)/2)</f>
        <v>0.22134233421293062</v>
      </c>
      <c r="L29" s="67">
        <f>'Income Statement'!M24/(('Balance Sheet'!L18+'Balance Sheet'!M18)/2)</f>
        <v>0.21279441628841847</v>
      </c>
      <c r="M29" s="67">
        <f>'Income Statement'!N24/(('Balance Sheet'!M18+'Balance Sheet'!N18)/2)</f>
        <v>0.20258055231364142</v>
      </c>
      <c r="N29" s="67">
        <f>'Income Statement'!O24/(('Balance Sheet'!N18+'Balance Sheet'!O18)/2)</f>
        <v>0.19258879800863973</v>
      </c>
      <c r="O29" s="71">
        <f>'Income Statement'!P24/(('Balance Sheet'!O18+'Balance Sheet'!P18)/2)</f>
        <v>0.18293807292816644</v>
      </c>
    </row>
    <row r="30" spans="1:15" ht="18" customHeight="1" x14ac:dyDescent="0.3">
      <c r="A30" s="38" t="s">
        <v>371</v>
      </c>
      <c r="B30" s="74">
        <f>'Income Statement'!C5/'Balance Sheet'!C18</f>
        <v>0.55019556714471973</v>
      </c>
      <c r="C30" s="74">
        <f>'Income Statement'!D5/(('Balance Sheet'!C18+'Balance Sheet'!D18)/2)</f>
        <v>1.3868289983397897</v>
      </c>
      <c r="D30" s="74">
        <f>'Income Statement'!E5/(('Balance Sheet'!D18+'Balance Sheet'!E18)/2)</f>
        <v>1.3924969745865268</v>
      </c>
      <c r="E30" s="74">
        <f>'Income Statement'!F5/(('Balance Sheet'!E18+'Balance Sheet'!F18)/2)</f>
        <v>1.6158365261813539</v>
      </c>
      <c r="F30" s="74">
        <f>'Income Statement'!G5/(('Balance Sheet'!F18+'Balance Sheet'!G18)/2)</f>
        <v>1.552359706344548</v>
      </c>
      <c r="G30" s="74">
        <f>'Income Statement'!H5/(('Balance Sheet'!G18+'Balance Sheet'!H18)/2)</f>
        <v>1.5658848622561652</v>
      </c>
      <c r="H30" s="74">
        <f>'Income Statement'!I5/(('Balance Sheet'!H18+'Balance Sheet'!I18)/2)</f>
        <v>1.6366266080312826</v>
      </c>
      <c r="I30" s="74">
        <f>'Income Statement'!J5/(('Balance Sheet'!I18+'Balance Sheet'!J18)/2)</f>
        <v>1.6459766475077089</v>
      </c>
      <c r="J30" s="74">
        <f>'Income Statement'!K5/(('Balance Sheet'!J18+'Balance Sheet'!K18)/2)</f>
        <v>1.591983651936987</v>
      </c>
      <c r="K30" s="140">
        <f>'Income Statement'!L5/(('Balance Sheet'!K18+'Balance Sheet'!L18)/2)</f>
        <v>1.5024850015302365</v>
      </c>
      <c r="L30" s="141">
        <f>'Income Statement'!M5/(('Balance Sheet'!L18+'Balance Sheet'!M18)/2)</f>
        <v>1.3908141875632507</v>
      </c>
      <c r="M30" s="141">
        <f>'Income Statement'!N5/(('Balance Sheet'!M18+'Balance Sheet'!N18)/2)</f>
        <v>1.2902558569991258</v>
      </c>
      <c r="N30" s="141">
        <f>'Income Statement'!O5/(('Balance Sheet'!N18+'Balance Sheet'!O18)/2)</f>
        <v>1.1964254750786809</v>
      </c>
      <c r="O30" s="142">
        <f>'Income Statement'!P5/(('Balance Sheet'!O18+'Balance Sheet'!P18)/2)</f>
        <v>1.1096664595278232</v>
      </c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6CB4-82DE-498B-9436-6473F6D2863C}">
  <dimension ref="A1:L30"/>
  <sheetViews>
    <sheetView showGridLines="0" workbookViewId="0"/>
  </sheetViews>
  <sheetFormatPr defaultRowHeight="14.4" x14ac:dyDescent="0.3"/>
  <cols>
    <col min="1" max="1" width="44.44140625" customWidth="1"/>
    <col min="2" max="2" width="3.6640625" customWidth="1"/>
    <col min="3" max="12" width="15.21875" customWidth="1"/>
  </cols>
  <sheetData>
    <row r="1" spans="1:12" ht="28.05" customHeight="1" x14ac:dyDescent="0.3">
      <c r="A1" s="10" t="s">
        <v>109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2.05" customHeight="1" thickBot="1" x14ac:dyDescent="0.35">
      <c r="A3" s="11" t="s">
        <v>110</v>
      </c>
      <c r="B3" s="11"/>
      <c r="C3" s="13" t="s">
        <v>18</v>
      </c>
      <c r="D3" s="13" t="s">
        <v>19</v>
      </c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3" t="s">
        <v>25</v>
      </c>
      <c r="K3" s="13" t="s">
        <v>26</v>
      </c>
      <c r="L3" s="13" t="s">
        <v>27</v>
      </c>
    </row>
    <row r="4" spans="1:12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8" customHeight="1" x14ac:dyDescent="0.3">
      <c r="A5" s="37" t="s">
        <v>98</v>
      </c>
      <c r="B5" s="2"/>
      <c r="C5" s="28">
        <f>'Income Statement'!G19</f>
        <v>69.825000000000003</v>
      </c>
      <c r="D5" s="28">
        <f>'Income Statement'!H19</f>
        <v>105.73500000000008</v>
      </c>
      <c r="E5" s="28">
        <f>'Income Statement'!I19</f>
        <v>160.8899999999999</v>
      </c>
      <c r="F5" s="28">
        <f>'Income Statement'!J19</f>
        <v>228.4100000000002</v>
      </c>
      <c r="G5" s="28">
        <f>'Income Statement'!K19</f>
        <v>314.59000000000037</v>
      </c>
      <c r="H5" s="28">
        <f>'Income Statement'!L19</f>
        <v>405.96</v>
      </c>
      <c r="I5" s="28">
        <f>'Income Statement'!M19</f>
        <v>504.69999999999976</v>
      </c>
      <c r="J5" s="28">
        <f>'Income Statement'!N19</f>
        <v>609.79</v>
      </c>
      <c r="K5" s="28">
        <f>'Income Statement'!O19</f>
        <v>723.60000000000014</v>
      </c>
      <c r="L5" s="28">
        <f>'Income Statement'!P19</f>
        <v>844.2199999999998</v>
      </c>
    </row>
    <row r="6" spans="1:12" ht="18" customHeight="1" x14ac:dyDescent="0.3">
      <c r="A6" s="38" t="s">
        <v>111</v>
      </c>
      <c r="B6" s="2"/>
      <c r="C6" s="28">
        <f>C5*Assumptions!H17</f>
        <v>17.5959</v>
      </c>
      <c r="D6" s="28">
        <f>D5*Assumptions!I17</f>
        <v>26.645220000000023</v>
      </c>
      <c r="E6" s="28">
        <f>E5*Assumptions!J17</f>
        <v>40.544279999999972</v>
      </c>
      <c r="F6" s="28">
        <f>F5*Assumptions!K17</f>
        <v>57.559320000000049</v>
      </c>
      <c r="G6" s="28">
        <f>G5*Assumptions!L17</f>
        <v>79.276680000000098</v>
      </c>
      <c r="H6" s="28">
        <f>H5*Assumptions!M17</f>
        <v>102.30192</v>
      </c>
      <c r="I6" s="28">
        <f>I5*Assumptions!N17</f>
        <v>127.18439999999994</v>
      </c>
      <c r="J6" s="28">
        <f>J5*Assumptions!O17</f>
        <v>153.66708</v>
      </c>
      <c r="K6" s="28">
        <f>K5*Assumptions!P17</f>
        <v>182.34720000000004</v>
      </c>
      <c r="L6" s="28">
        <f>L5*Assumptions!Q17</f>
        <v>212.74343999999996</v>
      </c>
    </row>
    <row r="7" spans="1:12" ht="18" customHeight="1" x14ac:dyDescent="0.3">
      <c r="A7" s="39" t="s">
        <v>112</v>
      </c>
      <c r="B7" s="15"/>
      <c r="C7" s="29">
        <f t="shared" ref="C7:L7" si="0">C5-C6</f>
        <v>52.229100000000003</v>
      </c>
      <c r="D7" s="29">
        <f t="shared" si="0"/>
        <v>79.089780000000061</v>
      </c>
      <c r="E7" s="29">
        <f t="shared" si="0"/>
        <v>120.34571999999993</v>
      </c>
      <c r="F7" s="29">
        <f t="shared" si="0"/>
        <v>170.85068000000015</v>
      </c>
      <c r="G7" s="29">
        <f t="shared" si="0"/>
        <v>235.31332000000026</v>
      </c>
      <c r="H7" s="29">
        <f t="shared" si="0"/>
        <v>303.65807999999998</v>
      </c>
      <c r="I7" s="29">
        <f t="shared" si="0"/>
        <v>377.51559999999984</v>
      </c>
      <c r="J7" s="29">
        <f t="shared" si="0"/>
        <v>456.12291999999997</v>
      </c>
      <c r="K7" s="29">
        <f t="shared" si="0"/>
        <v>541.25280000000009</v>
      </c>
      <c r="L7" s="29">
        <f t="shared" si="0"/>
        <v>631.47655999999984</v>
      </c>
    </row>
    <row r="8" spans="1:12" ht="18" customHeight="1" x14ac:dyDescent="0.3">
      <c r="A8" s="38" t="s">
        <v>113</v>
      </c>
      <c r="B8" s="2"/>
      <c r="C8" s="28">
        <f>'Income Statement'!G18</f>
        <v>8.5499999999999989</v>
      </c>
      <c r="D8" s="28">
        <f>'Income Statement'!H18</f>
        <v>13.3</v>
      </c>
      <c r="E8" s="28">
        <f>'Income Statement'!I18</f>
        <v>20.459999999999997</v>
      </c>
      <c r="F8" s="28">
        <f>'Income Statement'!J18</f>
        <v>27.61</v>
      </c>
      <c r="G8" s="28">
        <f>'Income Statement'!K18</f>
        <v>34.230000000000004</v>
      </c>
      <c r="H8" s="28">
        <f>'Income Statement'!L18</f>
        <v>40.800000000000004</v>
      </c>
      <c r="I8" s="28">
        <f>'Income Statement'!M18</f>
        <v>46.55</v>
      </c>
      <c r="J8" s="28">
        <f>'Income Statement'!N18</f>
        <v>52.019999999999996</v>
      </c>
      <c r="K8" s="28">
        <f>'Income Statement'!O18</f>
        <v>60.3</v>
      </c>
      <c r="L8" s="28">
        <f>'Income Statement'!P18</f>
        <v>64.94</v>
      </c>
    </row>
    <row r="9" spans="1:12" ht="18" customHeight="1" x14ac:dyDescent="0.3">
      <c r="A9" s="38" t="s">
        <v>114</v>
      </c>
      <c r="B9" s="2"/>
      <c r="C9" s="28">
        <f>Assumptions!H26</f>
        <v>55</v>
      </c>
      <c r="D9" s="28">
        <f>Assumptions!I26</f>
        <v>45</v>
      </c>
      <c r="E9" s="28">
        <f>Assumptions!J26</f>
        <v>35</v>
      </c>
      <c r="F9" s="28">
        <f>Assumptions!K26</f>
        <v>30</v>
      </c>
      <c r="G9" s="28">
        <f>Assumptions!L26</f>
        <v>28</v>
      </c>
      <c r="H9" s="28">
        <f>Assumptions!M26</f>
        <v>30</v>
      </c>
      <c r="I9" s="28">
        <f>Assumptions!N26</f>
        <v>32</v>
      </c>
      <c r="J9" s="28">
        <f>Assumptions!O26</f>
        <v>35</v>
      </c>
      <c r="K9" s="28">
        <f>Assumptions!P26</f>
        <v>38</v>
      </c>
      <c r="L9" s="28">
        <f>Assumptions!Q26</f>
        <v>40</v>
      </c>
    </row>
    <row r="10" spans="1:12" ht="18" customHeight="1" x14ac:dyDescent="0.3">
      <c r="A10" s="38" t="s">
        <v>115</v>
      </c>
      <c r="B10" s="2"/>
      <c r="C10" s="28">
        <f>-'Cash Flow'!G9</f>
        <v>8.9260273972602704</v>
      </c>
      <c r="D10" s="28">
        <f>-'Cash Flow'!H9</f>
        <v>26.027397260273958</v>
      </c>
      <c r="E10" s="28">
        <f>-'Cash Flow'!I9</f>
        <v>40.246575342465775</v>
      </c>
      <c r="F10" s="28">
        <f>-'Cash Flow'!J9</f>
        <v>44.369863013698563</v>
      </c>
      <c r="G10" s="28">
        <f>-'Cash Flow'!K9</f>
        <v>50.972602739726085</v>
      </c>
      <c r="H10" s="28">
        <f>-'Cash Flow'!L9</f>
        <v>54</v>
      </c>
      <c r="I10" s="28">
        <f>-'Cash Flow'!M9</f>
        <v>47.260273972602818</v>
      </c>
      <c r="J10" s="28">
        <f>-'Cash Flow'!N9</f>
        <v>44.958904109588957</v>
      </c>
      <c r="K10" s="28">
        <f>-'Cash Flow'!O9</f>
        <v>40.520547945205408</v>
      </c>
      <c r="L10" s="28">
        <f>-'Cash Flow'!P9</f>
        <v>34.273972602739718</v>
      </c>
    </row>
    <row r="11" spans="1:12" ht="18" customHeight="1" thickBot="1" x14ac:dyDescent="0.35">
      <c r="A11" s="38"/>
      <c r="B11" s="2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ht="18" customHeight="1" thickBot="1" x14ac:dyDescent="0.35">
      <c r="A12" s="43" t="s">
        <v>116</v>
      </c>
      <c r="B12" s="16"/>
      <c r="C12" s="34">
        <f t="shared" ref="C12:L12" si="1">C7+C8-C9-C10</f>
        <v>-3.1469273972602707</v>
      </c>
      <c r="D12" s="34">
        <f t="shared" si="1"/>
        <v>21.362382739726101</v>
      </c>
      <c r="E12" s="34">
        <f t="shared" si="1"/>
        <v>65.559144657534148</v>
      </c>
      <c r="F12" s="34">
        <f t="shared" si="1"/>
        <v>124.09081698630158</v>
      </c>
      <c r="G12" s="34">
        <f t="shared" si="1"/>
        <v>190.57071726027419</v>
      </c>
      <c r="H12" s="34">
        <f t="shared" si="1"/>
        <v>260.45808</v>
      </c>
      <c r="I12" s="34">
        <f t="shared" si="1"/>
        <v>344.80532602739703</v>
      </c>
      <c r="J12" s="34">
        <f t="shared" si="1"/>
        <v>428.18401589041099</v>
      </c>
      <c r="K12" s="34">
        <f t="shared" si="1"/>
        <v>523.03225205479464</v>
      </c>
      <c r="L12" s="34">
        <f t="shared" si="1"/>
        <v>622.14258739726017</v>
      </c>
    </row>
    <row r="13" spans="1:12" ht="18" customHeight="1" thickTop="1" x14ac:dyDescent="0.3">
      <c r="A13" s="38"/>
      <c r="B13" s="2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ht="18" customHeight="1" x14ac:dyDescent="0.3">
      <c r="A14" s="42" t="s">
        <v>117</v>
      </c>
      <c r="B14" s="18"/>
      <c r="C14" s="56">
        <f>1/(1+$C$19)^1</f>
        <v>0.86327281061210692</v>
      </c>
      <c r="D14" s="56">
        <f>1/(1+$C$19)^2</f>
        <v>0.74523994554212669</v>
      </c>
      <c r="E14" s="56">
        <f>1/(1+$C$19)^3</f>
        <v>0.64334538236856531</v>
      </c>
      <c r="F14" s="56">
        <f>1/(1+$C$19)^4</f>
        <v>0.55538257643163191</v>
      </c>
      <c r="G14" s="56">
        <f>1/(1+$C$19)^5</f>
        <v>0.4794466777211282</v>
      </c>
      <c r="H14" s="56">
        <f>1/(1+$C$19)^6</f>
        <v>0.41389328101495537</v>
      </c>
      <c r="I14" s="56">
        <f>1/(1+$C$19)^7</f>
        <v>0.3573028159952471</v>
      </c>
      <c r="J14" s="56">
        <f>1/(1+$C$19)^8</f>
        <v>0.30844980620383744</v>
      </c>
      <c r="K14" s="56">
        <f>1/(1+$C$19)^9</f>
        <v>0.26627633113434646</v>
      </c>
      <c r="L14" s="56">
        <f>1/(1+$C$19)^10</f>
        <v>0.22986911677782734</v>
      </c>
    </row>
    <row r="15" spans="1:12" ht="18" customHeight="1" x14ac:dyDescent="0.3">
      <c r="A15" s="37" t="s">
        <v>118</v>
      </c>
      <c r="B15" s="2"/>
      <c r="C15" s="28">
        <f t="shared" ref="C15:L15" si="2">C12*C14</f>
        <v>-2.7166568590251163</v>
      </c>
      <c r="D15" s="28">
        <f t="shared" si="2"/>
        <v>15.920100949603547</v>
      </c>
      <c r="E15" s="28">
        <f t="shared" si="2"/>
        <v>42.177172987457389</v>
      </c>
      <c r="F15" s="28">
        <f t="shared" si="2"/>
        <v>68.917877649358289</v>
      </c>
      <c r="G15" s="28">
        <f t="shared" si="2"/>
        <v>91.368497261370919</v>
      </c>
      <c r="H15" s="28">
        <f t="shared" si="2"/>
        <v>107.80184929805573</v>
      </c>
      <c r="I15" s="28">
        <f t="shared" si="2"/>
        <v>123.19991395974823</v>
      </c>
      <c r="J15" s="28">
        <f t="shared" si="2"/>
        <v>132.07327672097813</v>
      </c>
      <c r="K15" s="28">
        <f t="shared" si="2"/>
        <v>139.27110914208546</v>
      </c>
      <c r="L15" s="28">
        <f t="shared" si="2"/>
        <v>143.01136707488044</v>
      </c>
    </row>
    <row r="16" spans="1:12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5.95" customHeight="1" x14ac:dyDescent="0.3">
      <c r="A17" s="9" t="s">
        <v>119</v>
      </c>
      <c r="B17" s="9"/>
      <c r="C17" s="9"/>
      <c r="D17" s="9"/>
      <c r="E17" s="2"/>
      <c r="F17" s="2"/>
      <c r="G17" s="2"/>
      <c r="H17" s="2"/>
      <c r="I17" s="2"/>
      <c r="J17" s="2"/>
      <c r="K17" s="2"/>
      <c r="L17" s="2"/>
    </row>
    <row r="18" spans="1:12" ht="18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8" customHeight="1" x14ac:dyDescent="0.3">
      <c r="A19" s="2" t="s">
        <v>78</v>
      </c>
      <c r="B19" s="2"/>
      <c r="C19" s="7">
        <f>Assumptions!D40</f>
        <v>0.15838236500341765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 ht="18" customHeight="1" x14ac:dyDescent="0.3">
      <c r="A20" s="2" t="s">
        <v>79</v>
      </c>
      <c r="B20" s="2"/>
      <c r="C20" s="7">
        <f>Assumptions!D41</f>
        <v>5.5E-2</v>
      </c>
      <c r="D20" s="2"/>
      <c r="E20" s="2"/>
      <c r="F20" s="2"/>
      <c r="G20" s="2"/>
      <c r="H20" s="2"/>
      <c r="I20" s="2"/>
      <c r="J20" s="2"/>
      <c r="K20" s="2"/>
      <c r="L20" s="2"/>
    </row>
    <row r="21" spans="1:12" ht="18" customHeight="1" x14ac:dyDescent="0.3">
      <c r="A21" s="3" t="s">
        <v>120</v>
      </c>
      <c r="B21" s="2"/>
      <c r="C21" s="4">
        <f>SUM(C15:L15)</f>
        <v>861.02450818451302</v>
      </c>
      <c r="D21" s="2"/>
      <c r="E21" s="2"/>
      <c r="F21" s="2"/>
      <c r="G21" s="2"/>
      <c r="H21" s="2"/>
      <c r="I21" s="2"/>
      <c r="J21" s="2"/>
      <c r="K21" s="2"/>
      <c r="L21" s="2"/>
    </row>
    <row r="22" spans="1:12" ht="18" customHeight="1" x14ac:dyDescent="0.3">
      <c r="A22" s="2" t="s">
        <v>121</v>
      </c>
      <c r="B22" s="2"/>
      <c r="C22" s="4">
        <f>L12*(1+C20)/(C19-C20)</f>
        <v>6348.8625906595507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ht="18" customHeight="1" thickBot="1" x14ac:dyDescent="0.35">
      <c r="A23" s="2" t="s">
        <v>122</v>
      </c>
      <c r="B23" s="2"/>
      <c r="C23" s="4">
        <f>C22*L14</f>
        <v>1459.4074362586996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ht="18" customHeight="1" x14ac:dyDescent="0.3">
      <c r="A24" s="124" t="s">
        <v>123</v>
      </c>
      <c r="B24" s="124"/>
      <c r="C24" s="125">
        <f>C21+C23</f>
        <v>2320.4319444432126</v>
      </c>
      <c r="D24" s="126"/>
      <c r="E24" s="2"/>
      <c r="F24" s="2"/>
      <c r="G24" s="2"/>
      <c r="H24" s="2"/>
      <c r="I24" s="2"/>
      <c r="J24" s="2"/>
      <c r="K24" s="2"/>
      <c r="L24" s="2"/>
    </row>
    <row r="25" spans="1:12" ht="18" customHeight="1" x14ac:dyDescent="0.3">
      <c r="A25" s="2" t="s">
        <v>124</v>
      </c>
      <c r="B25" s="2"/>
      <c r="C25" s="4">
        <f>'Balance Sheet'!F28+'Balance Sheet'!F33-'Balance Sheet'!F14</f>
        <v>31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ht="18" customHeight="1" x14ac:dyDescent="0.3">
      <c r="A26" s="3" t="s">
        <v>125</v>
      </c>
      <c r="B26" s="2"/>
      <c r="C26" s="4">
        <f>C24-C25</f>
        <v>2289.4319444432126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ht="18" customHeight="1" thickBot="1" x14ac:dyDescent="0.35">
      <c r="A27" s="2" t="s">
        <v>107</v>
      </c>
      <c r="B27" s="2"/>
      <c r="C27" s="2">
        <f>'Income Statement'!G29</f>
        <v>1.06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ht="18" customHeight="1" thickBot="1" x14ac:dyDescent="0.35">
      <c r="A28" s="116" t="s">
        <v>126</v>
      </c>
      <c r="B28" s="116"/>
      <c r="C28" s="117">
        <f>C26/C27</f>
        <v>2159.8414570218988</v>
      </c>
      <c r="D28" s="116"/>
      <c r="E28" s="2"/>
      <c r="F28" s="2"/>
      <c r="G28" s="2"/>
      <c r="H28" s="2"/>
      <c r="I28" s="2"/>
      <c r="J28" s="2"/>
      <c r="K28" s="2"/>
      <c r="L28" s="2"/>
    </row>
    <row r="29" spans="1:12" ht="18" customHeight="1" thickTop="1" x14ac:dyDescent="0.3">
      <c r="A29" s="2" t="s">
        <v>127</v>
      </c>
      <c r="B29" s="2"/>
      <c r="C29" s="51">
        <v>408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ht="18" customHeight="1" x14ac:dyDescent="0.3">
      <c r="A30" s="101" t="s">
        <v>128</v>
      </c>
      <c r="B30" s="101"/>
      <c r="C30" s="120">
        <f>(C28-C29)/C29</f>
        <v>4.2937290613281833</v>
      </c>
      <c r="D30" s="101"/>
      <c r="E30" s="2"/>
      <c r="F30" s="2"/>
      <c r="G30" s="2"/>
      <c r="H30" s="2"/>
      <c r="I30" s="2"/>
      <c r="J30" s="2"/>
      <c r="K30" s="2"/>
      <c r="L30" s="2"/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BFB5-B478-4651-8784-5343A8770464}">
  <dimension ref="A1:K25"/>
  <sheetViews>
    <sheetView showGridLines="0" zoomScale="95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7" customWidth="1"/>
    <col min="2" max="2" width="16.6640625" customWidth="1"/>
    <col min="3" max="11" width="15.77734375" customWidth="1"/>
  </cols>
  <sheetData>
    <row r="1" spans="1:11" ht="28.05" customHeight="1" x14ac:dyDescent="0.3">
      <c r="A1" s="10" t="s">
        <v>129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.05" customHeight="1" thickBot="1" x14ac:dyDescent="0.35">
      <c r="A3" s="60" t="s">
        <v>130</v>
      </c>
      <c r="B3" s="60" t="s">
        <v>131</v>
      </c>
      <c r="C3" s="62" t="s">
        <v>132</v>
      </c>
      <c r="D3" s="62" t="s">
        <v>133</v>
      </c>
      <c r="E3" s="62" t="s">
        <v>134</v>
      </c>
      <c r="F3" s="62" t="s">
        <v>135</v>
      </c>
      <c r="G3" s="62" t="s">
        <v>136</v>
      </c>
      <c r="H3" s="62" t="s">
        <v>137</v>
      </c>
      <c r="I3" s="62" t="s">
        <v>138</v>
      </c>
      <c r="J3" s="62" t="s">
        <v>139</v>
      </c>
      <c r="K3" s="62" t="s">
        <v>140</v>
      </c>
    </row>
    <row r="4" spans="1:11" ht="18" customHeight="1" x14ac:dyDescent="0.3">
      <c r="A4" s="38" t="s">
        <v>141</v>
      </c>
      <c r="B4" s="2" t="s">
        <v>142</v>
      </c>
      <c r="C4" s="65">
        <v>7426</v>
      </c>
      <c r="D4" s="65">
        <v>4151</v>
      </c>
      <c r="E4" s="65">
        <v>554</v>
      </c>
      <c r="F4" s="65">
        <v>516</v>
      </c>
      <c r="G4" s="66">
        <v>22</v>
      </c>
      <c r="H4" s="66">
        <v>17.899999999999999</v>
      </c>
      <c r="I4" s="66">
        <v>3</v>
      </c>
      <c r="J4" s="67">
        <v>1.7</v>
      </c>
      <c r="K4" s="67">
        <v>0.13300000000000001</v>
      </c>
    </row>
    <row r="5" spans="1:11" ht="18" customHeight="1" x14ac:dyDescent="0.3">
      <c r="A5" s="38" t="s">
        <v>143</v>
      </c>
      <c r="B5" s="2" t="s">
        <v>144</v>
      </c>
      <c r="C5" s="65">
        <v>2647</v>
      </c>
      <c r="D5" s="65">
        <v>1700</v>
      </c>
      <c r="E5" s="65">
        <v>260</v>
      </c>
      <c r="F5" s="65">
        <v>94</v>
      </c>
      <c r="G5" s="66">
        <v>28</v>
      </c>
      <c r="H5" s="66">
        <v>17</v>
      </c>
      <c r="I5" s="66">
        <v>1.8</v>
      </c>
      <c r="J5" s="67">
        <v>0.2</v>
      </c>
      <c r="K5" s="67">
        <v>0.153</v>
      </c>
    </row>
    <row r="6" spans="1:11" ht="18" customHeight="1" x14ac:dyDescent="0.3">
      <c r="A6" s="38" t="s">
        <v>145</v>
      </c>
      <c r="B6" s="2" t="s">
        <v>146</v>
      </c>
      <c r="C6" s="65">
        <v>1580</v>
      </c>
      <c r="D6" s="65">
        <v>900</v>
      </c>
      <c r="E6" s="65">
        <v>108</v>
      </c>
      <c r="F6" s="65">
        <v>65</v>
      </c>
      <c r="G6" s="66">
        <v>24.3</v>
      </c>
      <c r="H6" s="66">
        <v>14.7</v>
      </c>
      <c r="I6" s="66">
        <v>1.8</v>
      </c>
      <c r="J6" s="67">
        <v>0.18</v>
      </c>
      <c r="K6" s="67">
        <v>0.12</v>
      </c>
    </row>
    <row r="7" spans="1:11" ht="18" customHeight="1" x14ac:dyDescent="0.3">
      <c r="A7" s="38" t="s">
        <v>147</v>
      </c>
      <c r="B7" s="2" t="s">
        <v>148</v>
      </c>
      <c r="C7" s="65">
        <v>8500</v>
      </c>
      <c r="D7" s="65">
        <v>2100</v>
      </c>
      <c r="E7" s="65">
        <v>315</v>
      </c>
      <c r="F7" s="65">
        <v>200</v>
      </c>
      <c r="G7" s="66">
        <v>42.5</v>
      </c>
      <c r="H7" s="66">
        <v>27</v>
      </c>
      <c r="I7" s="66">
        <v>4</v>
      </c>
      <c r="J7" s="67">
        <v>0.15</v>
      </c>
      <c r="K7" s="67">
        <v>0.15</v>
      </c>
    </row>
    <row r="8" spans="1:11" ht="18" customHeight="1" x14ac:dyDescent="0.3">
      <c r="A8" s="38" t="s">
        <v>149</v>
      </c>
      <c r="B8" s="2" t="s">
        <v>150</v>
      </c>
      <c r="C8" s="65">
        <v>7200</v>
      </c>
      <c r="D8" s="65">
        <v>2612</v>
      </c>
      <c r="E8" s="65">
        <v>520</v>
      </c>
      <c r="F8" s="65">
        <v>380</v>
      </c>
      <c r="G8" s="66">
        <v>19</v>
      </c>
      <c r="H8" s="66">
        <v>13.8</v>
      </c>
      <c r="I8" s="66">
        <v>2.8</v>
      </c>
      <c r="J8" s="67">
        <v>0.35</v>
      </c>
      <c r="K8" s="67">
        <v>0.19900000000000001</v>
      </c>
    </row>
    <row r="9" spans="1:11" ht="18" customHeight="1" x14ac:dyDescent="0.3">
      <c r="A9" s="38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8" customHeight="1" x14ac:dyDescent="0.3">
      <c r="A10" s="38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8" customHeight="1" x14ac:dyDescent="0.3">
      <c r="A11" s="39" t="s">
        <v>151</v>
      </c>
      <c r="B11" s="15"/>
      <c r="C11" s="15"/>
      <c r="D11" s="15"/>
      <c r="E11" s="15"/>
      <c r="F11" s="15"/>
      <c r="G11" s="61">
        <f>MEDIAN(G4:G8)</f>
        <v>24.3</v>
      </c>
      <c r="H11" s="61">
        <f>MEDIAN(H4:H8)</f>
        <v>17</v>
      </c>
      <c r="I11" s="61">
        <f>MEDIAN(I4:I8)</f>
        <v>2.8</v>
      </c>
      <c r="J11" s="15"/>
      <c r="K11" s="15"/>
    </row>
    <row r="12" spans="1:11" ht="18" customHeight="1" x14ac:dyDescent="0.3">
      <c r="A12" s="68" t="s">
        <v>152</v>
      </c>
      <c r="B12" s="5"/>
      <c r="C12" s="5"/>
      <c r="D12" s="5"/>
      <c r="E12" s="5"/>
      <c r="F12" s="5"/>
      <c r="G12" s="59">
        <f>AVERAGE(G4:G8)</f>
        <v>27.160000000000004</v>
      </c>
      <c r="H12" s="59">
        <f>AVERAGE(H4:H8)</f>
        <v>18.079999999999998</v>
      </c>
      <c r="I12" s="59">
        <f>AVERAGE(I4:I8)</f>
        <v>2.6799999999999997</v>
      </c>
      <c r="J12" s="5"/>
      <c r="K12" s="5"/>
    </row>
    <row r="13" spans="1:11" ht="18" customHeight="1" x14ac:dyDescent="0.3">
      <c r="A13" s="38" t="s">
        <v>153</v>
      </c>
      <c r="B13" s="2"/>
      <c r="C13" s="2"/>
      <c r="D13" s="2"/>
      <c r="E13" s="2"/>
      <c r="F13" s="2"/>
      <c r="G13" s="2" t="str">
        <f>MIN(G4:G8)&amp;" – "&amp;MAX(G4:G8)</f>
        <v>19 – 42.5</v>
      </c>
      <c r="H13" s="2" t="str">
        <f>MIN(H4:H8)&amp;" – "&amp;MAX(H4:H8)</f>
        <v>13.8 – 27</v>
      </c>
      <c r="I13" s="2" t="str">
        <f>MIN(I4:I8)&amp;" – "&amp;MAX(I4:I8)</f>
        <v>1.8 – 4</v>
      </c>
      <c r="J13" s="2"/>
      <c r="K13" s="2"/>
    </row>
    <row r="14" spans="1:11" ht="18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9.95" customHeight="1" x14ac:dyDescent="0.3">
      <c r="A15" s="14" t="s">
        <v>154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ht="18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8" customHeight="1" x14ac:dyDescent="0.3">
      <c r="A17" s="8" t="s">
        <v>155</v>
      </c>
      <c r="B17" s="8" t="s">
        <v>156</v>
      </c>
      <c r="C17" s="8" t="s">
        <v>157</v>
      </c>
      <c r="D17" s="8" t="s">
        <v>158</v>
      </c>
      <c r="E17" s="8" t="s">
        <v>159</v>
      </c>
      <c r="F17" s="2"/>
      <c r="G17" s="2"/>
      <c r="H17" s="2"/>
      <c r="I17" s="2"/>
      <c r="J17" s="2"/>
      <c r="K17" s="2"/>
    </row>
    <row r="18" spans="1:11" ht="18" customHeight="1" x14ac:dyDescent="0.3">
      <c r="A18" s="2" t="s">
        <v>160</v>
      </c>
      <c r="B18" s="4">
        <f>'Income Statement'!G24</f>
        <v>47.870130000000003</v>
      </c>
      <c r="C18" s="58">
        <f>G11</f>
        <v>24.3</v>
      </c>
      <c r="D18" s="57">
        <f>B18*C18</f>
        <v>1163.2441590000001</v>
      </c>
      <c r="E18" s="51">
        <f>D18/'Income Statement'!G29</f>
        <v>1097.4001499999999</v>
      </c>
      <c r="F18" s="2"/>
      <c r="G18" s="2"/>
      <c r="H18" s="2"/>
      <c r="I18" s="2"/>
      <c r="J18" s="2"/>
      <c r="K18" s="2"/>
    </row>
    <row r="19" spans="1:11" ht="18" customHeight="1" x14ac:dyDescent="0.3">
      <c r="A19" s="2" t="s">
        <v>161</v>
      </c>
      <c r="B19" s="4">
        <f>'Income Statement'!G15</f>
        <v>78.375</v>
      </c>
      <c r="C19" s="58">
        <f>H11</f>
        <v>17</v>
      </c>
      <c r="D19" s="57">
        <f>B19*C19-'DCF Valuation'!C25</f>
        <v>1301.375</v>
      </c>
      <c r="E19" s="51">
        <f>D19/'Income Statement'!G29</f>
        <v>1227.7122641509434</v>
      </c>
      <c r="F19" s="2"/>
      <c r="G19" s="2"/>
      <c r="H19" s="2"/>
      <c r="I19" s="2"/>
      <c r="J19" s="2"/>
      <c r="K19" s="2"/>
    </row>
    <row r="20" spans="1:11" ht="18" customHeight="1" x14ac:dyDescent="0.3">
      <c r="A20" s="2" t="s">
        <v>162</v>
      </c>
      <c r="B20" s="4">
        <f>'Income Statement'!G5</f>
        <v>475</v>
      </c>
      <c r="C20" s="58">
        <f>I11</f>
        <v>2.8</v>
      </c>
      <c r="D20" s="57">
        <f>B20*C20-'DCF Valuation'!C25</f>
        <v>1299</v>
      </c>
      <c r="E20" s="51">
        <f>D20/'Income Statement'!G29</f>
        <v>1225.4716981132076</v>
      </c>
      <c r="F20" s="2"/>
      <c r="G20" s="2"/>
      <c r="H20" s="2"/>
      <c r="I20" s="2"/>
      <c r="J20" s="2"/>
      <c r="K20" s="2"/>
    </row>
    <row r="21" spans="1:11" ht="18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customHeight="1" x14ac:dyDescent="0.3">
      <c r="A22" s="53" t="s">
        <v>163</v>
      </c>
      <c r="B22" s="53"/>
      <c r="C22" s="53"/>
      <c r="D22" s="53"/>
      <c r="E22" s="52">
        <f>AVERAGE(E18:E20)</f>
        <v>1183.5280374213837</v>
      </c>
      <c r="F22" s="2"/>
      <c r="G22" s="2"/>
      <c r="H22" s="2"/>
      <c r="I22" s="2"/>
      <c r="J22" s="2"/>
      <c r="K22" s="2"/>
    </row>
    <row r="23" spans="1:11" ht="18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8" customHeight="1" x14ac:dyDescent="0.3">
      <c r="A24" s="6" t="s">
        <v>164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8" customHeight="1" x14ac:dyDescent="0.3">
      <c r="A25" s="6" t="s">
        <v>165</v>
      </c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D527-AA9F-4EDD-BAE3-526400D99292}">
  <dimension ref="A1:E20"/>
  <sheetViews>
    <sheetView showGridLines="0" workbookViewId="0"/>
  </sheetViews>
  <sheetFormatPr defaultRowHeight="14.4" x14ac:dyDescent="0.3"/>
  <cols>
    <col min="1" max="1" width="40.77734375" customWidth="1"/>
    <col min="2" max="4" width="20.33203125" customWidth="1"/>
    <col min="5" max="5" width="51.88671875" customWidth="1"/>
  </cols>
  <sheetData>
    <row r="1" spans="1:5" ht="28.05" customHeight="1" x14ac:dyDescent="0.3">
      <c r="A1" s="10" t="s">
        <v>166</v>
      </c>
      <c r="B1" s="10"/>
      <c r="C1" s="10"/>
      <c r="D1" s="10"/>
      <c r="E1" s="10"/>
    </row>
    <row r="2" spans="1:5" ht="18" customHeight="1" x14ac:dyDescent="0.3">
      <c r="A2" s="2"/>
      <c r="B2" s="2"/>
      <c r="C2" s="2"/>
      <c r="D2" s="2"/>
      <c r="E2" s="2"/>
    </row>
    <row r="3" spans="1:5" ht="22.05" customHeight="1" thickBot="1" x14ac:dyDescent="0.35">
      <c r="A3" s="60" t="s">
        <v>167</v>
      </c>
      <c r="B3" s="62" t="s">
        <v>168</v>
      </c>
      <c r="C3" s="62" t="s">
        <v>169</v>
      </c>
      <c r="D3" s="62" t="s">
        <v>170</v>
      </c>
      <c r="E3" s="60" t="s">
        <v>28</v>
      </c>
    </row>
    <row r="4" spans="1:5" ht="18" customHeight="1" x14ac:dyDescent="0.3">
      <c r="A4" s="38" t="s">
        <v>171</v>
      </c>
      <c r="B4" s="69">
        <f>'DCF Valuation'!C28</f>
        <v>2159.8414570218988</v>
      </c>
      <c r="C4" s="92">
        <v>0.5</v>
      </c>
      <c r="D4" s="69">
        <f>B4*C4</f>
        <v>1079.9207285109494</v>
      </c>
      <c r="E4" s="2" t="s">
        <v>172</v>
      </c>
    </row>
    <row r="5" spans="1:5" ht="18" customHeight="1" x14ac:dyDescent="0.3">
      <c r="A5" s="38" t="s">
        <v>173</v>
      </c>
      <c r="B5" s="69">
        <f>Comps!E18</f>
        <v>1097.4001499999999</v>
      </c>
      <c r="C5" s="92">
        <v>0.2</v>
      </c>
      <c r="D5" s="69">
        <f>B5*C5</f>
        <v>219.48003</v>
      </c>
      <c r="E5" s="2" t="s">
        <v>174</v>
      </c>
    </row>
    <row r="6" spans="1:5" ht="18" customHeight="1" x14ac:dyDescent="0.3">
      <c r="A6" s="38" t="s">
        <v>175</v>
      </c>
      <c r="B6" s="69">
        <f>Comps!E19</f>
        <v>1227.7122641509434</v>
      </c>
      <c r="C6" s="92">
        <v>0.2</v>
      </c>
      <c r="D6" s="69">
        <f>B6*C6</f>
        <v>245.54245283018869</v>
      </c>
      <c r="E6" s="2" t="s">
        <v>176</v>
      </c>
    </row>
    <row r="7" spans="1:5" ht="18" customHeight="1" x14ac:dyDescent="0.3">
      <c r="A7" s="38" t="s">
        <v>177</v>
      </c>
      <c r="B7" s="69">
        <f>Comps!E20</f>
        <v>1225.4716981132076</v>
      </c>
      <c r="C7" s="92">
        <v>0.1</v>
      </c>
      <c r="D7" s="69">
        <f>B7*C7</f>
        <v>122.54716981132077</v>
      </c>
      <c r="E7" s="2" t="s">
        <v>178</v>
      </c>
    </row>
    <row r="8" spans="1:5" ht="18" customHeight="1" x14ac:dyDescent="0.3">
      <c r="A8" s="37" t="s">
        <v>179</v>
      </c>
      <c r="B8" s="2"/>
      <c r="C8" s="91">
        <f>SUM(C4:C7)</f>
        <v>0.99999999999999989</v>
      </c>
      <c r="D8" s="2"/>
      <c r="E8" s="2"/>
    </row>
    <row r="9" spans="1:5" ht="18" customHeight="1" thickBot="1" x14ac:dyDescent="0.35">
      <c r="A9" s="38"/>
      <c r="B9" s="2"/>
      <c r="C9" s="2"/>
      <c r="D9" s="2"/>
      <c r="E9" s="2"/>
    </row>
    <row r="10" spans="1:5" ht="18" customHeight="1" thickBot="1" x14ac:dyDescent="0.4">
      <c r="A10" s="115" t="s">
        <v>180</v>
      </c>
      <c r="B10" s="116"/>
      <c r="C10" s="116"/>
      <c r="D10" s="118">
        <f>SUM(D4:D7)</f>
        <v>1667.4903811524589</v>
      </c>
      <c r="E10" s="116"/>
    </row>
    <row r="11" spans="1:5" ht="18" customHeight="1" thickTop="1" x14ac:dyDescent="0.3">
      <c r="A11" s="38"/>
      <c r="B11" s="2"/>
      <c r="C11" s="2"/>
      <c r="D11" s="2"/>
      <c r="E11" s="2"/>
    </row>
    <row r="12" spans="1:5" ht="18" customHeight="1" x14ac:dyDescent="0.3">
      <c r="A12" s="38" t="s">
        <v>127</v>
      </c>
      <c r="B12" s="2"/>
      <c r="C12" s="2"/>
      <c r="D12" s="51">
        <v>408</v>
      </c>
      <c r="E12" s="2"/>
    </row>
    <row r="13" spans="1:5" ht="18" customHeight="1" x14ac:dyDescent="0.3">
      <c r="A13" s="119" t="s">
        <v>181</v>
      </c>
      <c r="B13" s="101"/>
      <c r="C13" s="101"/>
      <c r="D13" s="120">
        <f>(D10-D12)/D12</f>
        <v>3.0869862283148501</v>
      </c>
      <c r="E13" s="2"/>
    </row>
    <row r="14" spans="1:5" ht="18" customHeight="1" x14ac:dyDescent="0.3">
      <c r="A14" s="2"/>
      <c r="B14" s="2"/>
      <c r="C14" s="2"/>
      <c r="D14" s="2"/>
      <c r="E14" s="2"/>
    </row>
    <row r="15" spans="1:5" ht="19.95" customHeight="1" x14ac:dyDescent="0.3">
      <c r="A15" s="14" t="s">
        <v>182</v>
      </c>
      <c r="B15" s="14"/>
      <c r="C15" s="14"/>
      <c r="D15" s="14"/>
      <c r="E15" s="14"/>
    </row>
    <row r="16" spans="1:5" ht="18" customHeight="1" x14ac:dyDescent="0.3">
      <c r="A16" s="2"/>
      <c r="B16" s="2"/>
      <c r="C16" s="2"/>
      <c r="D16" s="2"/>
      <c r="E16" s="2"/>
    </row>
    <row r="17" spans="1:5" ht="18" customHeight="1" x14ac:dyDescent="0.3">
      <c r="A17" s="111" t="s">
        <v>183</v>
      </c>
      <c r="B17" s="111" t="s">
        <v>184</v>
      </c>
      <c r="C17" s="111" t="s">
        <v>185</v>
      </c>
      <c r="D17" s="111" t="s">
        <v>186</v>
      </c>
      <c r="E17" s="2"/>
    </row>
    <row r="18" spans="1:5" ht="18" customHeight="1" x14ac:dyDescent="0.3">
      <c r="A18" s="121" t="s">
        <v>187</v>
      </c>
      <c r="B18" s="57">
        <v>4700</v>
      </c>
      <c r="C18" s="51">
        <f>C19*1.3</f>
        <v>2167.7374954981965</v>
      </c>
      <c r="D18" s="7">
        <f>(C18-408)/408</f>
        <v>4.3130820968093051</v>
      </c>
      <c r="E18" s="2"/>
    </row>
    <row r="19" spans="1:5" ht="18" customHeight="1" x14ac:dyDescent="0.3">
      <c r="A19" s="122" t="s">
        <v>188</v>
      </c>
      <c r="B19" s="57">
        <v>3820</v>
      </c>
      <c r="C19" s="51">
        <f>D10</f>
        <v>1667.4903811524589</v>
      </c>
      <c r="D19" s="7">
        <f>(C19-408)/408</f>
        <v>3.0869862283148501</v>
      </c>
      <c r="E19" s="2"/>
    </row>
    <row r="20" spans="1:5" ht="18" customHeight="1" x14ac:dyDescent="0.3">
      <c r="A20" s="123" t="s">
        <v>189</v>
      </c>
      <c r="B20" s="57">
        <v>1975</v>
      </c>
      <c r="C20" s="51">
        <f>C19*0.55</f>
        <v>917.11970963385249</v>
      </c>
      <c r="D20" s="7">
        <f>(C20-408)/408</f>
        <v>1.2478424255731679</v>
      </c>
      <c r="E20" s="2"/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0C9-3B7E-43B0-9AF4-2FFC792C5584}">
  <dimension ref="A1:I25"/>
  <sheetViews>
    <sheetView showGridLines="0" tabSelected="1" workbookViewId="0"/>
  </sheetViews>
  <sheetFormatPr defaultRowHeight="14.4" x14ac:dyDescent="0.3"/>
  <cols>
    <col min="1" max="1" width="3.6640625" customWidth="1"/>
    <col min="2" max="2" width="24.109375" customWidth="1"/>
    <col min="3" max="9" width="14.44140625" customWidth="1"/>
  </cols>
  <sheetData>
    <row r="1" spans="1:9" ht="28.05" customHeight="1" x14ac:dyDescent="0.3">
      <c r="A1" s="10" t="s">
        <v>278</v>
      </c>
      <c r="B1" s="10"/>
      <c r="C1" s="10"/>
      <c r="D1" s="10"/>
      <c r="E1" s="10"/>
      <c r="F1" s="10"/>
      <c r="G1" s="10"/>
      <c r="H1" s="10"/>
      <c r="I1" s="10"/>
    </row>
    <row r="2" spans="1:9" ht="18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ht="18" customHeight="1" x14ac:dyDescent="0.3">
      <c r="A3" s="102" t="s">
        <v>279</v>
      </c>
      <c r="B3" s="2"/>
      <c r="C3" s="2"/>
      <c r="D3" s="2"/>
      <c r="E3" s="2"/>
      <c r="F3" s="2"/>
      <c r="G3" s="2"/>
      <c r="H3" s="2"/>
      <c r="I3" s="2"/>
    </row>
    <row r="4" spans="1:9" ht="18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22.05" customHeight="1" thickBot="1" x14ac:dyDescent="0.35">
      <c r="A5" s="2"/>
      <c r="B5" s="103" t="s">
        <v>280</v>
      </c>
      <c r="C5" s="146">
        <v>0.03</v>
      </c>
      <c r="D5" s="146">
        <v>3.5000000000000003E-2</v>
      </c>
      <c r="E5" s="146">
        <v>0.04</v>
      </c>
      <c r="F5" s="146">
        <v>4.4999999999999998E-2</v>
      </c>
      <c r="G5" s="146">
        <v>0.05</v>
      </c>
      <c r="H5" s="146">
        <v>5.5E-2</v>
      </c>
      <c r="I5" s="146">
        <v>0.06</v>
      </c>
    </row>
    <row r="6" spans="1:9" ht="18" customHeight="1" x14ac:dyDescent="0.3">
      <c r="A6" s="2"/>
      <c r="B6" s="104">
        <v>0.13</v>
      </c>
      <c r="C6" s="105">
        <v>2722</v>
      </c>
      <c r="D6" s="105">
        <v>2825</v>
      </c>
      <c r="E6" s="105">
        <v>2940</v>
      </c>
      <c r="F6" s="105">
        <v>3067</v>
      </c>
      <c r="G6" s="105">
        <v>3211</v>
      </c>
      <c r="H6" s="105">
        <v>3374</v>
      </c>
      <c r="I6" s="105">
        <v>3560</v>
      </c>
    </row>
    <row r="7" spans="1:9" ht="18" customHeight="1" x14ac:dyDescent="0.3">
      <c r="A7" s="2"/>
      <c r="B7" s="104">
        <v>0.14000000000000001</v>
      </c>
      <c r="C7" s="105">
        <v>2364</v>
      </c>
      <c r="D7" s="105">
        <v>2442</v>
      </c>
      <c r="E7" s="105">
        <v>2528</v>
      </c>
      <c r="F7" s="105">
        <v>2623</v>
      </c>
      <c r="G7" s="105">
        <v>2729</v>
      </c>
      <c r="H7" s="105">
        <v>2847</v>
      </c>
      <c r="I7" s="105">
        <v>2979</v>
      </c>
    </row>
    <row r="8" spans="1:9" ht="18" customHeight="1" thickBot="1" x14ac:dyDescent="0.35">
      <c r="A8" s="2"/>
      <c r="B8" s="104">
        <v>0.15</v>
      </c>
      <c r="C8" s="105">
        <v>2072</v>
      </c>
      <c r="D8" s="105">
        <v>2132</v>
      </c>
      <c r="E8" s="105">
        <v>2198</v>
      </c>
      <c r="F8" s="105">
        <v>2270</v>
      </c>
      <c r="G8" s="108">
        <v>2350</v>
      </c>
      <c r="H8" s="105">
        <v>2437</v>
      </c>
      <c r="I8" s="105">
        <v>2535</v>
      </c>
    </row>
    <row r="9" spans="1:9" ht="18" customHeight="1" thickBot="1" x14ac:dyDescent="0.35">
      <c r="A9" s="2"/>
      <c r="B9" s="104">
        <v>0.157</v>
      </c>
      <c r="C9" s="105">
        <v>1897</v>
      </c>
      <c r="D9" s="105">
        <v>1948</v>
      </c>
      <c r="E9" s="105">
        <v>2004</v>
      </c>
      <c r="F9" s="106">
        <v>2064</v>
      </c>
      <c r="G9" s="110">
        <v>2130</v>
      </c>
      <c r="H9" s="107">
        <v>2202</v>
      </c>
      <c r="I9" s="105">
        <v>2282</v>
      </c>
    </row>
    <row r="10" spans="1:9" ht="18" customHeight="1" x14ac:dyDescent="0.3">
      <c r="A10" s="2"/>
      <c r="B10" s="104">
        <v>0.16500000000000001</v>
      </c>
      <c r="C10" s="105">
        <v>1723</v>
      </c>
      <c r="D10" s="105">
        <v>1765</v>
      </c>
      <c r="E10" s="105">
        <v>1811</v>
      </c>
      <c r="F10" s="105">
        <v>1861</v>
      </c>
      <c r="G10" s="109">
        <v>1914</v>
      </c>
      <c r="H10" s="105">
        <v>1973</v>
      </c>
      <c r="I10" s="105">
        <v>2037</v>
      </c>
    </row>
    <row r="11" spans="1:9" ht="18" customHeight="1" x14ac:dyDescent="0.3">
      <c r="A11" s="2"/>
      <c r="B11" s="104">
        <v>0.17499999999999999</v>
      </c>
      <c r="C11" s="105">
        <v>1536</v>
      </c>
      <c r="D11" s="105">
        <v>1570</v>
      </c>
      <c r="E11" s="105">
        <v>1606</v>
      </c>
      <c r="F11" s="105">
        <v>1646</v>
      </c>
      <c r="G11" s="105">
        <v>1688</v>
      </c>
      <c r="H11" s="105">
        <v>1734</v>
      </c>
      <c r="I11" s="105">
        <v>1783</v>
      </c>
    </row>
    <row r="12" spans="1:9" ht="18" customHeight="1" x14ac:dyDescent="0.3">
      <c r="A12" s="2"/>
      <c r="B12" s="104">
        <v>0.185</v>
      </c>
      <c r="C12" s="105">
        <v>1377</v>
      </c>
      <c r="D12" s="105">
        <v>1404</v>
      </c>
      <c r="E12" s="105">
        <v>1433</v>
      </c>
      <c r="F12" s="105">
        <v>1465</v>
      </c>
      <c r="G12" s="105">
        <v>1499</v>
      </c>
      <c r="H12" s="105">
        <v>1535</v>
      </c>
      <c r="I12" s="105">
        <v>1574</v>
      </c>
    </row>
    <row r="13" spans="1:9" ht="18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18" customHeight="1" x14ac:dyDescent="0.3">
      <c r="A14" s="6" t="s">
        <v>381</v>
      </c>
      <c r="B14" s="2"/>
      <c r="C14" s="2"/>
      <c r="D14" s="2"/>
      <c r="E14" s="2"/>
      <c r="F14" s="2"/>
      <c r="G14" s="2"/>
      <c r="H14" s="2"/>
      <c r="I14" s="2"/>
    </row>
    <row r="15" spans="1:9" ht="18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18" customHeight="1" x14ac:dyDescent="0.3">
      <c r="A16" s="102" t="s">
        <v>281</v>
      </c>
      <c r="B16" s="2"/>
      <c r="C16" s="2"/>
      <c r="D16" s="2"/>
      <c r="E16" s="2"/>
      <c r="F16" s="2"/>
      <c r="G16" s="2"/>
      <c r="H16" s="2"/>
      <c r="I16" s="2"/>
    </row>
    <row r="17" spans="1:9" ht="18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18" customHeight="1" x14ac:dyDescent="0.3">
      <c r="A18" s="2"/>
      <c r="B18" s="112" t="s">
        <v>282</v>
      </c>
      <c r="C18" s="113">
        <v>0.18</v>
      </c>
      <c r="D18" s="113">
        <v>0.2</v>
      </c>
      <c r="E18" s="113">
        <v>0.22</v>
      </c>
      <c r="F18" s="113">
        <v>0.24</v>
      </c>
      <c r="G18" s="113">
        <v>0.26</v>
      </c>
      <c r="H18" s="113">
        <v>0.28000000000000003</v>
      </c>
      <c r="I18" s="113">
        <v>0.3</v>
      </c>
    </row>
    <row r="19" spans="1:9" ht="18" customHeight="1" x14ac:dyDescent="0.3">
      <c r="A19" s="2"/>
      <c r="B19" s="114">
        <v>0.15</v>
      </c>
      <c r="C19" s="105">
        <v>684</v>
      </c>
      <c r="D19" s="105">
        <v>745</v>
      </c>
      <c r="E19" s="105">
        <v>805</v>
      </c>
      <c r="F19" s="105">
        <v>865</v>
      </c>
      <c r="G19" s="105">
        <v>925</v>
      </c>
      <c r="H19" s="105">
        <v>985</v>
      </c>
      <c r="I19" s="105">
        <v>1045</v>
      </c>
    </row>
    <row r="20" spans="1:9" ht="18" customHeight="1" x14ac:dyDescent="0.3">
      <c r="A20" s="2"/>
      <c r="B20" s="114">
        <v>0.2</v>
      </c>
      <c r="C20" s="105">
        <v>930</v>
      </c>
      <c r="D20" s="105">
        <v>1015</v>
      </c>
      <c r="E20" s="105">
        <v>1100</v>
      </c>
      <c r="F20" s="105">
        <v>1185</v>
      </c>
      <c r="G20" s="105">
        <v>1270</v>
      </c>
      <c r="H20" s="105">
        <v>1355</v>
      </c>
      <c r="I20" s="105">
        <v>1440</v>
      </c>
    </row>
    <row r="21" spans="1:9" ht="18" customHeight="1" thickBot="1" x14ac:dyDescent="0.35">
      <c r="A21" s="2"/>
      <c r="B21" s="114">
        <v>0.25</v>
      </c>
      <c r="C21" s="105">
        <v>1262</v>
      </c>
      <c r="D21" s="105">
        <v>1381</v>
      </c>
      <c r="E21" s="108">
        <v>1500</v>
      </c>
      <c r="F21" s="105">
        <v>1619</v>
      </c>
      <c r="G21" s="105">
        <v>1738</v>
      </c>
      <c r="H21" s="105">
        <v>1857</v>
      </c>
      <c r="I21" s="105">
        <v>1976</v>
      </c>
    </row>
    <row r="22" spans="1:9" ht="18" customHeight="1" thickBot="1" x14ac:dyDescent="0.35">
      <c r="A22" s="2"/>
      <c r="B22" s="114">
        <v>0.28000000000000003</v>
      </c>
      <c r="C22" s="105">
        <v>1513</v>
      </c>
      <c r="D22" s="106">
        <v>1658</v>
      </c>
      <c r="E22" s="110">
        <v>1804</v>
      </c>
      <c r="F22" s="107">
        <v>1949</v>
      </c>
      <c r="G22" s="105">
        <v>2094</v>
      </c>
      <c r="H22" s="105">
        <v>2239</v>
      </c>
      <c r="I22" s="105">
        <v>2384</v>
      </c>
    </row>
    <row r="23" spans="1:9" ht="18" customHeight="1" x14ac:dyDescent="0.3">
      <c r="A23" s="2"/>
      <c r="B23" s="114">
        <v>0.3</v>
      </c>
      <c r="C23" s="105">
        <v>1707</v>
      </c>
      <c r="D23" s="105">
        <v>1872</v>
      </c>
      <c r="E23" s="109">
        <v>2037</v>
      </c>
      <c r="F23" s="105">
        <v>2203</v>
      </c>
      <c r="G23" s="105">
        <v>2368</v>
      </c>
      <c r="H23" s="105">
        <v>2533</v>
      </c>
      <c r="I23" s="105">
        <v>2699</v>
      </c>
    </row>
    <row r="24" spans="1:9" ht="18" customHeight="1" x14ac:dyDescent="0.3">
      <c r="A24" s="2"/>
      <c r="B24" s="114">
        <v>0.35</v>
      </c>
      <c r="C24" s="105">
        <v>2299</v>
      </c>
      <c r="D24" s="105">
        <v>2526</v>
      </c>
      <c r="E24" s="105">
        <v>2753</v>
      </c>
      <c r="F24" s="105">
        <v>2981</v>
      </c>
      <c r="G24" s="105">
        <v>3208</v>
      </c>
      <c r="H24" s="105">
        <v>3435</v>
      </c>
      <c r="I24" s="105">
        <v>3663</v>
      </c>
    </row>
    <row r="25" spans="1:9" ht="18" customHeight="1" x14ac:dyDescent="0.3">
      <c r="A25" s="2"/>
      <c r="B25" s="114">
        <v>0.4</v>
      </c>
      <c r="C25" s="105">
        <v>3080</v>
      </c>
      <c r="D25" s="105">
        <v>3390</v>
      </c>
      <c r="E25" s="105">
        <v>3699</v>
      </c>
      <c r="F25" s="105">
        <v>4009</v>
      </c>
      <c r="G25" s="105">
        <v>4319</v>
      </c>
      <c r="H25" s="105">
        <v>4629</v>
      </c>
      <c r="I25" s="105">
        <v>4938</v>
      </c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4F37-3277-42AC-B001-E54681B32441}">
  <dimension ref="A1:K25"/>
  <sheetViews>
    <sheetView showGridLines="0" workbookViewId="0"/>
  </sheetViews>
  <sheetFormatPr defaultRowHeight="14.4" x14ac:dyDescent="0.3"/>
  <cols>
    <col min="1" max="1" width="48.109375" customWidth="1"/>
    <col min="2" max="2" width="3.6640625" customWidth="1"/>
    <col min="3" max="11" width="14.44140625" customWidth="1"/>
  </cols>
  <sheetData>
    <row r="1" spans="1:11" ht="28.05" customHeight="1" x14ac:dyDescent="0.3">
      <c r="A1" s="10" t="s">
        <v>283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2.05" customHeight="1" thickBot="1" x14ac:dyDescent="0.35">
      <c r="A3" s="11" t="s">
        <v>284</v>
      </c>
      <c r="B3" s="11"/>
      <c r="C3" s="12" t="s">
        <v>16</v>
      </c>
      <c r="D3" s="12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27</v>
      </c>
    </row>
    <row r="4" spans="1:11" ht="18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8" customHeight="1" x14ac:dyDescent="0.3">
      <c r="A5" s="37" t="s">
        <v>285</v>
      </c>
      <c r="B5" s="2"/>
      <c r="C5" s="72">
        <f>C10-C6-C7-C8</f>
        <v>84.6</v>
      </c>
      <c r="D5" s="72">
        <f>D10-D6-D7-D8</f>
        <v>63.300000000000011</v>
      </c>
      <c r="E5" s="72">
        <v>80</v>
      </c>
      <c r="F5" s="72">
        <v>95</v>
      </c>
      <c r="G5" s="72">
        <v>120</v>
      </c>
      <c r="H5" s="72">
        <v>155</v>
      </c>
      <c r="I5" s="72">
        <v>200</v>
      </c>
      <c r="J5" s="72">
        <v>250</v>
      </c>
      <c r="K5" s="72">
        <v>400</v>
      </c>
    </row>
    <row r="6" spans="1:11" ht="18" customHeight="1" x14ac:dyDescent="0.3">
      <c r="A6" s="37" t="s">
        <v>286</v>
      </c>
      <c r="B6" s="2"/>
      <c r="C6" s="72">
        <v>70</v>
      </c>
      <c r="D6" s="72">
        <v>130</v>
      </c>
      <c r="E6" s="72">
        <v>140</v>
      </c>
      <c r="F6" s="72">
        <v>175</v>
      </c>
      <c r="G6" s="72">
        <v>230</v>
      </c>
      <c r="H6" s="72">
        <v>310</v>
      </c>
      <c r="I6" s="72">
        <v>400</v>
      </c>
      <c r="J6" s="72">
        <v>500</v>
      </c>
      <c r="K6" s="72">
        <v>900</v>
      </c>
    </row>
    <row r="7" spans="1:11" ht="18" customHeight="1" x14ac:dyDescent="0.3">
      <c r="A7" s="37" t="s">
        <v>287</v>
      </c>
      <c r="B7" s="2"/>
      <c r="C7" s="72">
        <v>18</v>
      </c>
      <c r="D7" s="72">
        <v>113</v>
      </c>
      <c r="E7" s="72">
        <v>225</v>
      </c>
      <c r="F7" s="72">
        <v>340</v>
      </c>
      <c r="G7" s="72">
        <v>490</v>
      </c>
      <c r="H7" s="72">
        <v>650</v>
      </c>
      <c r="I7" s="72">
        <v>830</v>
      </c>
      <c r="J7" s="72">
        <v>1020</v>
      </c>
      <c r="K7" s="72">
        <v>1850</v>
      </c>
    </row>
    <row r="8" spans="1:11" ht="18" customHeight="1" x14ac:dyDescent="0.3">
      <c r="A8" s="37" t="s">
        <v>288</v>
      </c>
      <c r="B8" s="2"/>
      <c r="C8" s="72">
        <v>0</v>
      </c>
      <c r="D8" s="72">
        <v>10</v>
      </c>
      <c r="E8" s="72">
        <v>30</v>
      </c>
      <c r="F8" s="72">
        <v>55</v>
      </c>
      <c r="G8" s="72">
        <v>90</v>
      </c>
      <c r="H8" s="72">
        <v>140</v>
      </c>
      <c r="I8" s="72">
        <v>200</v>
      </c>
      <c r="J8" s="72">
        <v>270</v>
      </c>
      <c r="K8" s="72">
        <v>670</v>
      </c>
    </row>
    <row r="9" spans="1:11" ht="18" customHeight="1" thickBot="1" x14ac:dyDescent="0.35">
      <c r="A9" s="38"/>
      <c r="B9" s="2"/>
      <c r="C9" s="30"/>
      <c r="D9" s="30"/>
      <c r="E9" s="30"/>
      <c r="F9" s="30"/>
      <c r="G9" s="30"/>
      <c r="H9" s="30"/>
      <c r="I9" s="30"/>
      <c r="J9" s="30"/>
      <c r="K9" s="30"/>
    </row>
    <row r="10" spans="1:11" ht="18" customHeight="1" thickBot="1" x14ac:dyDescent="0.35">
      <c r="A10" s="43" t="s">
        <v>289</v>
      </c>
      <c r="B10" s="16"/>
      <c r="C10" s="73">
        <f>'Income Statement'!E5</f>
        <v>172.6</v>
      </c>
      <c r="D10" s="73">
        <f>'Income Statement'!F5</f>
        <v>316.3</v>
      </c>
      <c r="E10" s="73">
        <f t="shared" ref="E10:K10" si="0">SUM(E5:E8)</f>
        <v>475</v>
      </c>
      <c r="F10" s="73">
        <f t="shared" si="0"/>
        <v>665</v>
      </c>
      <c r="G10" s="73">
        <f t="shared" si="0"/>
        <v>930</v>
      </c>
      <c r="H10" s="73">
        <f t="shared" si="0"/>
        <v>1255</v>
      </c>
      <c r="I10" s="73">
        <f t="shared" si="0"/>
        <v>1630</v>
      </c>
      <c r="J10" s="73">
        <f t="shared" si="0"/>
        <v>2040</v>
      </c>
      <c r="K10" s="73">
        <f t="shared" si="0"/>
        <v>3820</v>
      </c>
    </row>
    <row r="11" spans="1:11" ht="18" customHeight="1" thickTop="1" x14ac:dyDescent="0.3">
      <c r="A11" s="38"/>
      <c r="B11" s="2"/>
      <c r="C11" s="30"/>
      <c r="D11" s="30"/>
      <c r="E11" s="30"/>
      <c r="F11" s="30"/>
      <c r="G11" s="30"/>
      <c r="H11" s="30"/>
      <c r="I11" s="30"/>
      <c r="J11" s="30"/>
      <c r="K11" s="30"/>
    </row>
    <row r="12" spans="1:11" ht="19.95" customHeight="1" x14ac:dyDescent="0.3">
      <c r="A12" s="40" t="s">
        <v>290</v>
      </c>
      <c r="B12" s="14"/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18" customHeight="1" x14ac:dyDescent="0.3">
      <c r="A13" s="38" t="s">
        <v>291</v>
      </c>
      <c r="B13" s="2"/>
      <c r="C13" s="67">
        <f t="shared" ref="C13:K13" si="1">C5/C10</f>
        <v>0.49015063731170333</v>
      </c>
      <c r="D13" s="67">
        <f t="shared" si="1"/>
        <v>0.20012646221941197</v>
      </c>
      <c r="E13" s="67">
        <f t="shared" si="1"/>
        <v>0.16842105263157894</v>
      </c>
      <c r="F13" s="67">
        <f t="shared" si="1"/>
        <v>0.14285714285714285</v>
      </c>
      <c r="G13" s="67">
        <f t="shared" si="1"/>
        <v>0.12903225806451613</v>
      </c>
      <c r="H13" s="67">
        <f t="shared" si="1"/>
        <v>0.12350597609561753</v>
      </c>
      <c r="I13" s="67">
        <f t="shared" si="1"/>
        <v>0.12269938650306748</v>
      </c>
      <c r="J13" s="67">
        <f t="shared" si="1"/>
        <v>0.12254901960784313</v>
      </c>
      <c r="K13" s="67">
        <f t="shared" si="1"/>
        <v>0.10471204188481675</v>
      </c>
    </row>
    <row r="14" spans="1:11" ht="18" customHeight="1" x14ac:dyDescent="0.3">
      <c r="A14" s="38" t="s">
        <v>292</v>
      </c>
      <c r="B14" s="2"/>
      <c r="C14" s="67">
        <f t="shared" ref="C14:K14" si="2">C6/C10</f>
        <v>0.40556199304750873</v>
      </c>
      <c r="D14" s="67">
        <f t="shared" si="2"/>
        <v>0.41100221308883972</v>
      </c>
      <c r="E14" s="67">
        <f t="shared" si="2"/>
        <v>0.29473684210526313</v>
      </c>
      <c r="F14" s="67">
        <f t="shared" si="2"/>
        <v>0.26315789473684209</v>
      </c>
      <c r="G14" s="67">
        <f t="shared" si="2"/>
        <v>0.24731182795698925</v>
      </c>
      <c r="H14" s="67">
        <f t="shared" si="2"/>
        <v>0.24701195219123506</v>
      </c>
      <c r="I14" s="67">
        <f t="shared" si="2"/>
        <v>0.24539877300613497</v>
      </c>
      <c r="J14" s="67">
        <f t="shared" si="2"/>
        <v>0.24509803921568626</v>
      </c>
      <c r="K14" s="67">
        <f t="shared" si="2"/>
        <v>0.2356020942408377</v>
      </c>
    </row>
    <row r="15" spans="1:11" ht="18" customHeight="1" x14ac:dyDescent="0.3">
      <c r="A15" s="38" t="s">
        <v>293</v>
      </c>
      <c r="B15" s="2"/>
      <c r="C15" s="67">
        <f t="shared" ref="C15:K15" si="3">C7/C10</f>
        <v>0.10428736964078796</v>
      </c>
      <c r="D15" s="67">
        <f t="shared" si="3"/>
        <v>0.35725576983876067</v>
      </c>
      <c r="E15" s="67">
        <f t="shared" si="3"/>
        <v>0.47368421052631576</v>
      </c>
      <c r="F15" s="67">
        <f t="shared" si="3"/>
        <v>0.51127819548872178</v>
      </c>
      <c r="G15" s="67">
        <f t="shared" si="3"/>
        <v>0.5268817204301075</v>
      </c>
      <c r="H15" s="67">
        <f t="shared" si="3"/>
        <v>0.51792828685258963</v>
      </c>
      <c r="I15" s="67">
        <f t="shared" si="3"/>
        <v>0.50920245398773001</v>
      </c>
      <c r="J15" s="67">
        <f t="shared" si="3"/>
        <v>0.5</v>
      </c>
      <c r="K15" s="67">
        <f t="shared" si="3"/>
        <v>0.48429319371727747</v>
      </c>
    </row>
    <row r="16" spans="1:11" ht="18" customHeight="1" x14ac:dyDescent="0.3">
      <c r="A16" s="38" t="s">
        <v>294</v>
      </c>
      <c r="B16" s="2"/>
      <c r="C16" s="67">
        <f t="shared" ref="C16:K16" si="4">C8/C10</f>
        <v>0</v>
      </c>
      <c r="D16" s="67">
        <f t="shared" si="4"/>
        <v>3.1615554852987671E-2</v>
      </c>
      <c r="E16" s="67">
        <f t="shared" si="4"/>
        <v>6.3157894736842107E-2</v>
      </c>
      <c r="F16" s="67">
        <f t="shared" si="4"/>
        <v>8.2706766917293228E-2</v>
      </c>
      <c r="G16" s="67">
        <f t="shared" si="4"/>
        <v>9.6774193548387094E-2</v>
      </c>
      <c r="H16" s="67">
        <f t="shared" si="4"/>
        <v>0.11155378486055777</v>
      </c>
      <c r="I16" s="67">
        <f t="shared" si="4"/>
        <v>0.12269938650306748</v>
      </c>
      <c r="J16" s="67">
        <f t="shared" si="4"/>
        <v>0.13235294117647059</v>
      </c>
      <c r="K16" s="67">
        <f t="shared" si="4"/>
        <v>0.17539267015706805</v>
      </c>
    </row>
    <row r="17" spans="1:11" ht="18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9.95" customHeight="1" x14ac:dyDescent="0.3">
      <c r="A18" s="14" t="s">
        <v>295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8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8" customHeight="1" x14ac:dyDescent="0.3">
      <c r="A20" s="3" t="s">
        <v>296</v>
      </c>
      <c r="B20" s="2" t="s">
        <v>297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ht="18" customHeight="1" x14ac:dyDescent="0.3">
      <c r="A21" s="3" t="s">
        <v>298</v>
      </c>
      <c r="B21" s="2" t="s">
        <v>299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ht="18" customHeight="1" x14ac:dyDescent="0.3">
      <c r="A22" s="3" t="s">
        <v>300</v>
      </c>
      <c r="B22" s="2" t="s">
        <v>301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ht="18" customHeight="1" x14ac:dyDescent="0.3">
      <c r="A23" s="3" t="s">
        <v>302</v>
      </c>
      <c r="B23" s="2" t="s">
        <v>303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ht="18" customHeight="1" x14ac:dyDescent="0.3">
      <c r="A24" s="3" t="s">
        <v>304</v>
      </c>
      <c r="B24" s="2" t="s">
        <v>305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ht="18" customHeight="1" x14ac:dyDescent="0.3">
      <c r="A25" s="3" t="s">
        <v>306</v>
      </c>
      <c r="B25" s="2" t="s">
        <v>307</v>
      </c>
      <c r="C25" s="2"/>
      <c r="D25" s="2"/>
      <c r="E25" s="2"/>
      <c r="F25" s="2"/>
      <c r="G25" s="2"/>
      <c r="H25" s="2"/>
      <c r="I25" s="2"/>
      <c r="J25" s="2"/>
      <c r="K25" s="2"/>
    </row>
  </sheetData>
  <pageMargins left="0.27777777777777779" right="0.27777777777777779" top="0.34722222222222221" bottom="0.34722222222222221" header="0.3" footer="0.3"/>
  <pageSetup paperSize="9" scal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Mgmt Tracker</vt:lpstr>
      <vt:lpstr>Income Statement</vt:lpstr>
      <vt:lpstr>Balance Sheet</vt:lpstr>
      <vt:lpstr>Cash Flow</vt:lpstr>
      <vt:lpstr>Schedules</vt:lpstr>
      <vt:lpstr>DCF Valuation</vt:lpstr>
      <vt:lpstr>Comps</vt:lpstr>
      <vt:lpstr>Blended Valuation</vt:lpstr>
      <vt:lpstr>Sensitivity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2026-03-11T06:16:26Z</dcterms:created>
  <dcterms:modified xsi:type="dcterms:W3CDTF">2026-03-13T15:31:00Z</dcterms:modified>
</cp:coreProperties>
</file>