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F1C30E33-47D3-4D78-8566-434E2CA02D62}" xr6:coauthVersionLast="47" xr6:coauthVersionMax="47" xr10:uidLastSave="{00000000-0000-0000-0000-000000000000}"/>
  <bookViews>
    <workbookView xWindow="-108" yWindow="-108" windowWidth="23256" windowHeight="12456" xr2:uid="{E6815EFD-5F37-4DCC-8EBB-CE27EC78F2F9}"/>
  </bookViews>
  <sheets>
    <sheet name="Assumptions" sheetId="1" r:id="rId1"/>
    <sheet name="Income Statement" sheetId="2" r:id="rId2"/>
    <sheet name="Balance Sheet" sheetId="3" r:id="rId3"/>
    <sheet name="Cash Flow" sheetId="4" r:id="rId4"/>
    <sheet name="Ratios &amp; Valuation" sheetId="5" r:id="rId5"/>
    <sheet name="Valuation Exercis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2" l="1"/>
  <c r="J5" i="2"/>
  <c r="K5" i="2"/>
  <c r="L5" i="2"/>
  <c r="H5" i="2"/>
  <c r="H32" i="5" l="1"/>
  <c r="G34" i="5" s="1"/>
  <c r="H17" i="4"/>
  <c r="H13" i="4"/>
  <c r="D79" i="6"/>
  <c r="C79" i="6"/>
  <c r="B79" i="6"/>
  <c r="B59" i="6"/>
  <c r="B61" i="6"/>
  <c r="C58" i="6"/>
  <c r="B58" i="6"/>
  <c r="G54" i="6"/>
  <c r="F54" i="6"/>
  <c r="E54" i="6"/>
  <c r="D54" i="6"/>
  <c r="G53" i="6"/>
  <c r="F53" i="6"/>
  <c r="B67" i="6" s="1"/>
  <c r="D67" i="6" s="1"/>
  <c r="B76" i="6" s="1"/>
  <c r="B83" i="6" s="1"/>
  <c r="E53" i="6"/>
  <c r="B66" i="6" s="1"/>
  <c r="D66" i="6" s="1"/>
  <c r="B75" i="6" s="1"/>
  <c r="B82" i="6" s="1"/>
  <c r="D53" i="6"/>
  <c r="B28" i="6"/>
  <c r="F18" i="6"/>
  <c r="E18" i="6"/>
  <c r="D18" i="6"/>
  <c r="C18" i="6"/>
  <c r="B18" i="6"/>
  <c r="B8" i="6"/>
  <c r="B9" i="6"/>
  <c r="B26" i="6" s="1"/>
  <c r="H22" i="4"/>
  <c r="G22" i="4"/>
  <c r="F22" i="4"/>
  <c r="E22" i="4"/>
  <c r="D22" i="4"/>
  <c r="L17" i="4"/>
  <c r="K17" i="4"/>
  <c r="J17" i="4"/>
  <c r="I17" i="4"/>
  <c r="L13" i="4"/>
  <c r="K13" i="4"/>
  <c r="J13" i="4"/>
  <c r="I13" i="4"/>
  <c r="L12" i="4"/>
  <c r="L14" i="4" s="1"/>
  <c r="K12" i="4"/>
  <c r="K14" i="4" s="1"/>
  <c r="J12" i="4"/>
  <c r="J14" i="4" s="1"/>
  <c r="I12" i="4"/>
  <c r="H12" i="4"/>
  <c r="G14" i="5"/>
  <c r="F14" i="5"/>
  <c r="E14" i="5"/>
  <c r="D14" i="5"/>
  <c r="C14" i="5"/>
  <c r="L39" i="5"/>
  <c r="G38" i="5"/>
  <c r="G35" i="5"/>
  <c r="F35" i="5"/>
  <c r="E35" i="5"/>
  <c r="D35" i="5"/>
  <c r="C35" i="5"/>
  <c r="G23" i="5"/>
  <c r="F23" i="5"/>
  <c r="E23" i="5"/>
  <c r="D23" i="5"/>
  <c r="C23" i="5"/>
  <c r="G21" i="5"/>
  <c r="F21" i="5"/>
  <c r="E21" i="5"/>
  <c r="D21" i="5"/>
  <c r="C21" i="5"/>
  <c r="G27" i="5"/>
  <c r="F27" i="5"/>
  <c r="E27" i="5"/>
  <c r="D27" i="5"/>
  <c r="G26" i="5"/>
  <c r="F26" i="5"/>
  <c r="E26" i="5"/>
  <c r="D26" i="5"/>
  <c r="C26" i="5"/>
  <c r="G10" i="5"/>
  <c r="F10" i="5"/>
  <c r="E10" i="5"/>
  <c r="D10" i="5"/>
  <c r="C10" i="5"/>
  <c r="G7" i="5"/>
  <c r="F7" i="5"/>
  <c r="E7" i="5"/>
  <c r="D7" i="5"/>
  <c r="C7" i="5"/>
  <c r="G6" i="5"/>
  <c r="F6" i="5"/>
  <c r="E6" i="5"/>
  <c r="D6" i="5"/>
  <c r="C6" i="5"/>
  <c r="G19" i="4"/>
  <c r="F19" i="4"/>
  <c r="E19" i="4"/>
  <c r="D19" i="4"/>
  <c r="C19" i="4"/>
  <c r="G14" i="4"/>
  <c r="F14" i="4"/>
  <c r="E14" i="4"/>
  <c r="D14" i="4"/>
  <c r="C14" i="4"/>
  <c r="G7" i="4"/>
  <c r="F7" i="4"/>
  <c r="E7" i="4"/>
  <c r="D7" i="4"/>
  <c r="C7" i="4"/>
  <c r="G34" i="3"/>
  <c r="F34" i="3"/>
  <c r="E34" i="3"/>
  <c r="D34" i="3"/>
  <c r="C34" i="3"/>
  <c r="L30" i="3"/>
  <c r="K30" i="3"/>
  <c r="J30" i="3"/>
  <c r="I30" i="3"/>
  <c r="H30" i="3"/>
  <c r="G18" i="3"/>
  <c r="G20" i="3" s="1"/>
  <c r="F18" i="3"/>
  <c r="F22" i="5" s="1"/>
  <c r="E18" i="3"/>
  <c r="E22" i="5" s="1"/>
  <c r="D18" i="3"/>
  <c r="D20" i="3" s="1"/>
  <c r="C18" i="3"/>
  <c r="C20" i="3" s="1"/>
  <c r="G8" i="3"/>
  <c r="F8" i="3"/>
  <c r="E8" i="3"/>
  <c r="D8" i="3"/>
  <c r="C8" i="3"/>
  <c r="G26" i="2"/>
  <c r="G9" i="5" s="1"/>
  <c r="F26" i="2"/>
  <c r="F29" i="2" s="1"/>
  <c r="F13" i="5" s="1"/>
  <c r="E26" i="2"/>
  <c r="D26" i="2"/>
  <c r="C26" i="2"/>
  <c r="C9" i="5" s="1"/>
  <c r="G24" i="2"/>
  <c r="F24" i="2"/>
  <c r="E24" i="2"/>
  <c r="D24" i="2"/>
  <c r="C24" i="2"/>
  <c r="G22" i="2"/>
  <c r="F22" i="2"/>
  <c r="E22" i="2"/>
  <c r="D22" i="2"/>
  <c r="C22" i="2"/>
  <c r="L21" i="2"/>
  <c r="K21" i="2"/>
  <c r="J21" i="2"/>
  <c r="I21" i="2"/>
  <c r="H21" i="2"/>
  <c r="L20" i="2"/>
  <c r="L7" i="4" s="1"/>
  <c r="K20" i="2"/>
  <c r="K7" i="4" s="1"/>
  <c r="J20" i="2"/>
  <c r="J7" i="4" s="1"/>
  <c r="I20" i="2"/>
  <c r="I7" i="4" s="1"/>
  <c r="H20" i="2"/>
  <c r="H24" i="3" s="1"/>
  <c r="G18" i="2"/>
  <c r="F18" i="2"/>
  <c r="E18" i="2"/>
  <c r="D18" i="2"/>
  <c r="C18" i="2"/>
  <c r="G17" i="2"/>
  <c r="F17" i="2"/>
  <c r="E17" i="2"/>
  <c r="D17" i="2"/>
  <c r="C17" i="2"/>
  <c r="G15" i="2"/>
  <c r="F15" i="2"/>
  <c r="E15" i="2"/>
  <c r="D15" i="2"/>
  <c r="C15" i="2"/>
  <c r="L14" i="2"/>
  <c r="K14" i="2"/>
  <c r="J14" i="2"/>
  <c r="I14" i="2"/>
  <c r="H14" i="2"/>
  <c r="L13" i="2"/>
  <c r="K13" i="2"/>
  <c r="J13" i="2"/>
  <c r="I13" i="2"/>
  <c r="H13" i="2"/>
  <c r="G12" i="2"/>
  <c r="F12" i="2"/>
  <c r="E12" i="2"/>
  <c r="D12" i="2"/>
  <c r="C12" i="2"/>
  <c r="L11" i="2"/>
  <c r="L29" i="3" s="1"/>
  <c r="K11" i="2"/>
  <c r="K12" i="2" s="1"/>
  <c r="J11" i="2"/>
  <c r="I11" i="2"/>
  <c r="I15" i="3" s="1"/>
  <c r="I18" i="3" s="1"/>
  <c r="H11" i="2"/>
  <c r="H15" i="3" s="1"/>
  <c r="H18" i="3" s="1"/>
  <c r="L8" i="2"/>
  <c r="K8" i="2"/>
  <c r="J8" i="2"/>
  <c r="I8" i="2"/>
  <c r="H8" i="2"/>
  <c r="G8" i="2"/>
  <c r="F8" i="2"/>
  <c r="E8" i="2"/>
  <c r="D8" i="2"/>
  <c r="C8" i="2"/>
  <c r="L6" i="2"/>
  <c r="L26" i="5" s="1"/>
  <c r="K6" i="2"/>
  <c r="K26" i="5" s="1"/>
  <c r="J6" i="2"/>
  <c r="J26" i="5" s="1"/>
  <c r="I6" i="2"/>
  <c r="I26" i="5" s="1"/>
  <c r="H6" i="2"/>
  <c r="H26" i="5" s="1"/>
  <c r="K6" i="5" l="1"/>
  <c r="F28" i="5"/>
  <c r="D34" i="5"/>
  <c r="D28" i="5"/>
  <c r="F20" i="3"/>
  <c r="F36" i="3" s="1"/>
  <c r="C27" i="2"/>
  <c r="C8" i="5" s="1"/>
  <c r="C34" i="5"/>
  <c r="E34" i="5"/>
  <c r="L12" i="2"/>
  <c r="C36" i="3"/>
  <c r="F27" i="2"/>
  <c r="F8" i="5" s="1"/>
  <c r="C68" i="6"/>
  <c r="E68" i="6" s="1"/>
  <c r="C77" i="6" s="1"/>
  <c r="C84" i="6" s="1"/>
  <c r="F6" i="4"/>
  <c r="D36" i="3"/>
  <c r="F34" i="5"/>
  <c r="F9" i="5"/>
  <c r="G36" i="3"/>
  <c r="H7" i="4"/>
  <c r="B68" i="6"/>
  <c r="D68" i="6" s="1"/>
  <c r="B77" i="6" s="1"/>
  <c r="B84" i="6" s="1"/>
  <c r="H14" i="4"/>
  <c r="I14" i="4"/>
  <c r="I24" i="3"/>
  <c r="J24" i="3" s="1"/>
  <c r="K24" i="3" s="1"/>
  <c r="L24" i="3" s="1"/>
  <c r="J15" i="2"/>
  <c r="J17" i="2" s="1"/>
  <c r="J23" i="5" s="1"/>
  <c r="L15" i="2"/>
  <c r="L17" i="2" s="1"/>
  <c r="L22" i="2" s="1"/>
  <c r="K15" i="2"/>
  <c r="K17" i="2" s="1"/>
  <c r="K23" i="5" s="1"/>
  <c r="K29" i="3"/>
  <c r="I12" i="2"/>
  <c r="H15" i="2"/>
  <c r="H17" i="2" s="1"/>
  <c r="H18" i="2" s="1"/>
  <c r="H7" i="5" s="1"/>
  <c r="G15" i="5"/>
  <c r="G28" i="5"/>
  <c r="G22" i="5"/>
  <c r="J15" i="3"/>
  <c r="J18" i="3" s="1"/>
  <c r="E27" i="2"/>
  <c r="E8" i="5" s="1"/>
  <c r="K15" i="3"/>
  <c r="K18" i="3" s="1"/>
  <c r="L15" i="3"/>
  <c r="L18" i="3" s="1"/>
  <c r="G27" i="2"/>
  <c r="G8" i="5" s="1"/>
  <c r="H29" i="3"/>
  <c r="H8" i="4" s="1"/>
  <c r="I6" i="5"/>
  <c r="I29" i="3"/>
  <c r="D27" i="2"/>
  <c r="D8" i="5" s="1"/>
  <c r="H6" i="5"/>
  <c r="H12" i="2"/>
  <c r="J6" i="5"/>
  <c r="C29" i="2"/>
  <c r="C13" i="5" s="1"/>
  <c r="J29" i="3"/>
  <c r="F9" i="4"/>
  <c r="F25" i="4" s="1"/>
  <c r="F26" i="4" s="1"/>
  <c r="L6" i="5"/>
  <c r="E29" i="2"/>
  <c r="E13" i="5" s="1"/>
  <c r="F15" i="5" s="1"/>
  <c r="D29" i="2"/>
  <c r="D13" i="5" s="1"/>
  <c r="D33" i="5" s="1"/>
  <c r="J12" i="2"/>
  <c r="E20" i="3"/>
  <c r="E36" i="3" s="1"/>
  <c r="C6" i="4"/>
  <c r="C9" i="4" s="1"/>
  <c r="C25" i="4" s="1"/>
  <c r="C26" i="4" s="1"/>
  <c r="I15" i="2"/>
  <c r="I17" i="2" s="1"/>
  <c r="D6" i="4"/>
  <c r="D9" i="4" s="1"/>
  <c r="D25" i="4" s="1"/>
  <c r="D26" i="4" s="1"/>
  <c r="E6" i="4"/>
  <c r="E9" i="4" s="1"/>
  <c r="D9" i="5"/>
  <c r="G29" i="2"/>
  <c r="G13" i="5" s="1"/>
  <c r="G6" i="4"/>
  <c r="G9" i="4" s="1"/>
  <c r="E9" i="5"/>
  <c r="E28" i="5"/>
  <c r="B60" i="6"/>
  <c r="B65" i="6" s="1"/>
  <c r="D65" i="6" s="1"/>
  <c r="D22" i="5"/>
  <c r="C22" i="5"/>
  <c r="F33" i="5"/>
  <c r="F21" i="4" l="1"/>
  <c r="F23" i="4" s="1"/>
  <c r="D77" i="6"/>
  <c r="D84" i="6" s="1"/>
  <c r="J18" i="2"/>
  <c r="J7" i="5" s="1"/>
  <c r="K27" i="5"/>
  <c r="J22" i="2"/>
  <c r="K8" i="4"/>
  <c r="I8" i="4"/>
  <c r="K22" i="2"/>
  <c r="K23" i="2" s="1"/>
  <c r="K24" i="2" s="1"/>
  <c r="K18" i="2"/>
  <c r="K7" i="5" s="1"/>
  <c r="L18" i="2"/>
  <c r="L7" i="5" s="1"/>
  <c r="L27" i="5"/>
  <c r="C59" i="6"/>
  <c r="L23" i="5"/>
  <c r="H22" i="2"/>
  <c r="H23" i="2" s="1"/>
  <c r="H24" i="2" s="1"/>
  <c r="H23" i="5"/>
  <c r="H27" i="5"/>
  <c r="E25" i="4"/>
  <c r="E26" i="4" s="1"/>
  <c r="E21" i="4"/>
  <c r="E23" i="4" s="1"/>
  <c r="C21" i="4"/>
  <c r="C23" i="4" s="1"/>
  <c r="L23" i="2"/>
  <c r="L24" i="2" s="1"/>
  <c r="I18" i="2"/>
  <c r="I7" i="5" s="1"/>
  <c r="I27" i="5"/>
  <c r="I22" i="2"/>
  <c r="E15" i="5"/>
  <c r="E33" i="5"/>
  <c r="J23" i="2"/>
  <c r="J24" i="2" s="1"/>
  <c r="D21" i="4"/>
  <c r="D23" i="4" s="1"/>
  <c r="J8" i="4"/>
  <c r="J27" i="5"/>
  <c r="L8" i="4"/>
  <c r="D15" i="5"/>
  <c r="C33" i="5"/>
  <c r="B74" i="6"/>
  <c r="B81" i="6" s="1"/>
  <c r="G21" i="4"/>
  <c r="G23" i="4" s="1"/>
  <c r="G25" i="4"/>
  <c r="G26" i="4" s="1"/>
  <c r="G33" i="5"/>
  <c r="I23" i="5"/>
  <c r="J26" i="2" l="1"/>
  <c r="J29" i="2"/>
  <c r="J13" i="5" s="1"/>
  <c r="J18" i="4"/>
  <c r="J19" i="4" s="1"/>
  <c r="J27" i="2"/>
  <c r="J8" i="5" s="1"/>
  <c r="J6" i="4"/>
  <c r="J9" i="4" s="1"/>
  <c r="I23" i="2"/>
  <c r="I24" i="2" s="1"/>
  <c r="K26" i="2"/>
  <c r="L26" i="2"/>
  <c r="H26" i="2"/>
  <c r="H7" i="3" s="1"/>
  <c r="H6" i="4" l="1"/>
  <c r="H9" i="4" s="1"/>
  <c r="H29" i="2"/>
  <c r="H13" i="5" s="1"/>
  <c r="H27" i="2"/>
  <c r="H8" i="5" s="1"/>
  <c r="H18" i="4"/>
  <c r="H19" i="4" s="1"/>
  <c r="H28" i="5"/>
  <c r="K29" i="2"/>
  <c r="K13" i="5" s="1"/>
  <c r="K28" i="5"/>
  <c r="K27" i="2"/>
  <c r="K8" i="5" s="1"/>
  <c r="K18" i="4"/>
  <c r="K19" i="4" s="1"/>
  <c r="K6" i="4"/>
  <c r="K9" i="4" s="1"/>
  <c r="L29" i="2"/>
  <c r="L13" i="5" s="1"/>
  <c r="L28" i="5"/>
  <c r="L40" i="5"/>
  <c r="C60" i="6"/>
  <c r="C65" i="6" s="1"/>
  <c r="E65" i="6" s="1"/>
  <c r="L27" i="2"/>
  <c r="L8" i="5" s="1"/>
  <c r="L18" i="4"/>
  <c r="L19" i="4" s="1"/>
  <c r="L6" i="4"/>
  <c r="L9" i="4" s="1"/>
  <c r="I26" i="2"/>
  <c r="J25" i="4"/>
  <c r="J21" i="4"/>
  <c r="J33" i="5"/>
  <c r="K25" i="4" l="1"/>
  <c r="K21" i="4"/>
  <c r="L21" i="4"/>
  <c r="L25" i="4"/>
  <c r="K15" i="5"/>
  <c r="K33" i="5"/>
  <c r="H33" i="5"/>
  <c r="H15" i="5"/>
  <c r="L33" i="5"/>
  <c r="L15" i="5"/>
  <c r="J26" i="4"/>
  <c r="D16" i="6"/>
  <c r="D19" i="6" s="1"/>
  <c r="I29" i="2"/>
  <c r="I13" i="5" s="1"/>
  <c r="I27" i="2"/>
  <c r="I8" i="5" s="1"/>
  <c r="I18" i="4"/>
  <c r="I19" i="4" s="1"/>
  <c r="I28" i="5"/>
  <c r="I6" i="4"/>
  <c r="I9" i="4" s="1"/>
  <c r="J28" i="5"/>
  <c r="H8" i="3"/>
  <c r="I7" i="3"/>
  <c r="D74" i="6"/>
  <c r="D81" i="6" s="1"/>
  <c r="C74" i="6"/>
  <c r="C81" i="6" s="1"/>
  <c r="H21" i="4"/>
  <c r="H23" i="4" s="1"/>
  <c r="H25" i="4"/>
  <c r="I15" i="5" l="1"/>
  <c r="I33" i="5"/>
  <c r="J15" i="5"/>
  <c r="H26" i="4"/>
  <c r="B16" i="6"/>
  <c r="H21" i="5"/>
  <c r="H14" i="5"/>
  <c r="H35" i="5" s="1"/>
  <c r="H20" i="3"/>
  <c r="H10" i="5"/>
  <c r="H9" i="5"/>
  <c r="L26" i="4"/>
  <c r="F16" i="6"/>
  <c r="I21" i="4"/>
  <c r="I25" i="4"/>
  <c r="J7" i="3"/>
  <c r="I8" i="3"/>
  <c r="K26" i="4"/>
  <c r="E16" i="6"/>
  <c r="E19" i="6" s="1"/>
  <c r="H31" i="3" l="1"/>
  <c r="K7" i="3"/>
  <c r="J8" i="3"/>
  <c r="I22" i="4"/>
  <c r="I23" i="4" s="1"/>
  <c r="H34" i="3"/>
  <c r="H36" i="3" s="1"/>
  <c r="H22" i="5"/>
  <c r="H34" i="5"/>
  <c r="I26" i="4"/>
  <c r="C16" i="6"/>
  <c r="C19" i="6" s="1"/>
  <c r="B22" i="6"/>
  <c r="B23" i="6" s="1"/>
  <c r="F19" i="6"/>
  <c r="B39" i="6"/>
  <c r="F36" i="6"/>
  <c r="D34" i="6"/>
  <c r="H38" i="6"/>
  <c r="B19" i="6"/>
  <c r="I20" i="3"/>
  <c r="I21" i="5"/>
  <c r="I14" i="5"/>
  <c r="I35" i="5" s="1"/>
  <c r="I10" i="5"/>
  <c r="I9" i="5"/>
  <c r="I31" i="3" l="1"/>
  <c r="B38" i="6"/>
  <c r="B73" i="6" s="1"/>
  <c r="B80" i="6" s="1"/>
  <c r="E36" i="6"/>
  <c r="G39" i="6"/>
  <c r="C39" i="6"/>
  <c r="E39" i="6"/>
  <c r="B35" i="6"/>
  <c r="E34" i="6"/>
  <c r="G36" i="6"/>
  <c r="D37" i="6"/>
  <c r="H35" i="6"/>
  <c r="D35" i="6"/>
  <c r="D38" i="6"/>
  <c r="F40" i="6"/>
  <c r="B40" i="6"/>
  <c r="B36" i="6"/>
  <c r="G37" i="6"/>
  <c r="E38" i="6"/>
  <c r="B21" i="6"/>
  <c r="B25" i="6" s="1"/>
  <c r="B27" i="6" s="1"/>
  <c r="B29" i="6" s="1"/>
  <c r="C73" i="6" s="1"/>
  <c r="C80" i="6" s="1"/>
  <c r="G40" i="6"/>
  <c r="C35" i="6"/>
  <c r="D40" i="6"/>
  <c r="J22" i="4"/>
  <c r="J23" i="4" s="1"/>
  <c r="I22" i="5"/>
  <c r="I34" i="5"/>
  <c r="I34" i="3"/>
  <c r="I36" i="3" s="1"/>
  <c r="F38" i="6"/>
  <c r="D39" i="6"/>
  <c r="H39" i="6"/>
  <c r="H40" i="6"/>
  <c r="E35" i="6"/>
  <c r="H37" i="6"/>
  <c r="F39" i="6"/>
  <c r="D36" i="6"/>
  <c r="F35" i="6"/>
  <c r="G35" i="6"/>
  <c r="G38" i="6"/>
  <c r="C36" i="6"/>
  <c r="H36" i="6"/>
  <c r="H34" i="6"/>
  <c r="D73" i="6" s="1"/>
  <c r="D80" i="6" s="1"/>
  <c r="C37" i="6"/>
  <c r="B34" i="6"/>
  <c r="C40" i="6"/>
  <c r="G34" i="6"/>
  <c r="C38" i="6"/>
  <c r="E37" i="6"/>
  <c r="J20" i="3"/>
  <c r="J21" i="5"/>
  <c r="J14" i="5"/>
  <c r="J35" i="5" s="1"/>
  <c r="J10" i="5"/>
  <c r="J9" i="5"/>
  <c r="F34" i="6"/>
  <c r="F37" i="6"/>
  <c r="B37" i="6"/>
  <c r="E40" i="6"/>
  <c r="C34" i="6"/>
  <c r="L7" i="3"/>
  <c r="L8" i="3" s="1"/>
  <c r="K8" i="3"/>
  <c r="J31" i="3" l="1"/>
  <c r="K20" i="3"/>
  <c r="K21" i="5"/>
  <c r="K14" i="5"/>
  <c r="K35" i="5" s="1"/>
  <c r="K10" i="5"/>
  <c r="K9" i="5"/>
  <c r="K22" i="4"/>
  <c r="K23" i="4" s="1"/>
  <c r="J34" i="5"/>
  <c r="J34" i="3"/>
  <c r="J36" i="3" s="1"/>
  <c r="J22" i="5"/>
  <c r="L20" i="3"/>
  <c r="L21" i="5"/>
  <c r="L14" i="5"/>
  <c r="L35" i="5" s="1"/>
  <c r="L10" i="5"/>
  <c r="L9" i="5"/>
  <c r="L31" i="3" l="1"/>
  <c r="K31" i="3"/>
  <c r="C61" i="6"/>
  <c r="L34" i="5"/>
  <c r="L22" i="5"/>
  <c r="L34" i="3"/>
  <c r="L36" i="3" s="1"/>
  <c r="L22" i="4"/>
  <c r="L23" i="4" s="1"/>
  <c r="K34" i="5"/>
  <c r="K34" i="3"/>
  <c r="K36" i="3" s="1"/>
  <c r="K22" i="5"/>
  <c r="C67" i="6" l="1"/>
  <c r="E67" i="6" s="1"/>
  <c r="C66" i="6"/>
  <c r="E66" i="6" s="1"/>
  <c r="D75" i="6" l="1"/>
  <c r="D82" i="6" s="1"/>
  <c r="C75" i="6"/>
  <c r="C82" i="6" s="1"/>
  <c r="D76" i="6"/>
  <c r="D83" i="6" s="1"/>
  <c r="C76" i="6"/>
  <c r="C8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G6" authorId="0" shapeId="0" xr:uid="{0F31B87A-B1C1-439F-9D10-86F8F1C5291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As per the revised guidance</t>
        </r>
      </text>
    </comment>
    <comment ref="G10" authorId="0" shapeId="0" xr:uid="{BCCD860E-E540-44E1-9FCE-BF06618B4D2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Own Brands growing 33% YoY in Q3 FY26; primary growth engine post-Platin exit. Scuttlebutt: Gynecs confirm strong brand recall in fertility + oncology segments. FY26E reflects 40% YoY growth driven by NDDS launches and expanded field force.</t>
        </r>
      </text>
    </comment>
    <comment ref="H10" authorId="0" shapeId="0" xr:uid="{EA11B524-22CB-415A-A758-817172C3418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37% growth as new NDDS products (Methotrexate Oral ~₹13 Cr) ramp up + Inspira Derma turns profitable. Export approvals (EU-GMP, ANVISA) open new markets.</t>
        </r>
      </text>
    </comment>
    <comment ref="I10" authorId="0" shapeId="0" xr:uid="{606823BB-DDB8-40B9-9AE4-52FA3F2468D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29% growth; mature brand portfolio + regulated market traction.</t>
        </r>
      </text>
    </comment>
    <comment ref="J10" authorId="0" shapeId="0" xr:uid="{B5AE49F9-DB93-4122-BE4A-2E2552FB19E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26% growth; scale benefits, deeper penetration in oncology + derma.</t>
        </r>
      </text>
    </comment>
    <comment ref="K10" authorId="0" shapeId="0" xr:uid="{E249BDBA-8F25-42F2-90BC-0998436A269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21% growth; natural deceleration at scale, but strong franchise value.</t>
        </r>
      </text>
    </comment>
    <comment ref="G11" authorId="0" shapeId="0" xr:uid="{2B0BDC1D-587C-4320-8DDE-92B017F336D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CDMO hit: Platin products (~₹46.5 Cr in FY25) exiting. Strategic decision to drop low-margin contract work. Q3 FY26 already shows impact. Residual CDMO from non-Platin clients only.</t>
        </r>
      </text>
    </comment>
    <comment ref="H11" authorId="0" shapeId="0" xr:uid="{666A2128-4463-4F68-89DC-B0D05B362D7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Modest recovery as new CDMO clients onboard post-Platin void; but mix deliberately shifting away from low-margin contracts.</t>
        </r>
      </text>
    </comment>
    <comment ref="I11" authorId="0" shapeId="0" xr:uid="{0269B5A5-4290-4914-926A-B9890128712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Stable CDMO; not a growth driver — company prioritizing own brands.</t>
        </r>
      </text>
    </comment>
    <comment ref="J11" authorId="0" shapeId="0" xr:uid="{AD3E3E12-6CBB-4428-8D39-6A5308490EA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Gradual growth; selective high-margin contracts only.</t>
        </r>
      </text>
    </comment>
    <comment ref="K11" authorId="0" shapeId="0" xr:uid="{819A00A7-F387-45FE-BAEC-CE77B40E327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Maintained at ~9% of revenue; de-emphasized segment.</t>
        </r>
      </text>
    </comment>
    <comment ref="G12" authorId="0" shapeId="0" xr:uid="{A881ADCD-82FD-4D1E-A4C1-392C78005AF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Export tender delays impacting FY26. EU-GMP filing for Derabassi/Adley pending. ANVISA and COFEPRIS registrations ongoing. Employee cost increase (+21% YoY) partly for regulatory/QA/QC teams needed for export approvals.</t>
        </r>
      </text>
    </comment>
    <comment ref="H12" authorId="0" shapeId="0" xr:uid="{B2F0A3E8-466E-4BA9-864F-F1DF2F46BBAB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Export recovery as regulatory approvals come through. LatAm + PICS country registrations. Mgmt guidance ₹530 Cr total revenue implying major export contribution.</t>
        </r>
      </text>
    </comment>
    <comment ref="I12" authorId="0" shapeId="0" xr:uid="{88C35789-7212-4DF3-99DF-C60873EB8ED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EU-GMP approved, ANVISA clearance — exports accelerate rapidly. Regulated market entry is key long-term thesis.</t>
        </r>
      </text>
    </comment>
    <comment ref="J12" authorId="0" shapeId="0" xr:uid="{83C272A0-07E6-4F91-8527-93894451CDC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Full export ramp; LatAm + Europe + Africa. Export CAGR was 64% (FY20-FY25); we assume 25-35% going forward.</t>
        </r>
      </text>
    </comment>
    <comment ref="K12" authorId="0" shapeId="0" xr:uid="{F95FD6A6-BF2A-4F8E-8507-E7F2A8668E6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Exports become ~34% of revenue; diversified geography reduces concentration risk.</t>
        </r>
      </text>
    </comment>
    <comment ref="G13" authorId="0" shapeId="0" xr:uid="{D92ECD82-08A3-45F8-B24F-D06C5C041B2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API sales down due to internal consumption for backward integration. Adley Lab producing 34 oncology APIs in-house — reduces external API sales but improves COGS.</t>
        </r>
      </text>
    </comment>
    <comment ref="G14" authorId="0" shapeId="0" xr:uid="{87E338D5-3A13-4EEE-96AC-3BA18F1BBED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Inspira Derma turned profitable in Nov 2025 — no longer a margin drag. Growing steadily as prescription base expands.</t>
        </r>
      </text>
    </comment>
    <comment ref="G15" authorId="0" shapeId="0" xr:uid="{73AB69FF-DBB0-48B4-B28A-6D9037EEF46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ACQUISITION: 66.09% stake for ₹69.4 Cr (₹48.58 Cr via 2,83,668 shares at ₹1,712.49 + ₹20.82 Cr cash). FY26 projected sales ₹43 Cr (9M actual ₹30.3 Cr). Scuttlebutt: User's gynec colleagues already using Nivian products — confirms market traction. Official ISAR conference sponsor — strong brand positioning. India IVF market USD 1.06B (2023), 7.8% CAGR to 2030.</t>
        </r>
      </text>
    </comment>
    <comment ref="H15" authorId="0" shapeId="0" xr:uid="{8135A389-35AC-4605-A301-D2FF29CDCAB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~12% growth for Nivian; conservative as integration plays out. Cross-selling with Beta's gynec network. ISAR sponsorship builds KOL relationships.</t>
        </r>
      </text>
    </comment>
    <comment ref="I15" authorId="0" shapeId="0" xr:uid="{8E2AD2F3-F05E-4BDE-8975-6E8AF6EDE719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29% growth as cross-selling synergies materialize. Beta's field force selling Nivian products to existing gynec base.</t>
        </r>
      </text>
    </comment>
    <comment ref="J15" authorId="0" shapeId="0" xr:uid="{E38A9446-7DA2-4996-9116-5E222B544E5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Steady growth; IVF market growing 7.8% CAGR. Nivian benefits from Beta's distribution and regulatory expertise.</t>
        </r>
      </text>
    </comment>
    <comment ref="K15" authorId="0" shapeId="0" xr:uid="{B3AD8F3E-7E59-4110-9950-20720C26EA7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~40% growth; market leadership ambitions. IVF is a structural growth theme in India.</t>
        </r>
      </text>
    </comment>
    <comment ref="G16" authorId="0" shapeId="0" xr:uid="{158AE6FC-BDA4-412B-AD49-DB5423E5C61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Other income reclassified. Now tracked separately from revenue mix to maintain clean revenue segmentation.</t>
        </r>
      </text>
    </comment>
    <comment ref="G21" authorId="0" shapeId="0" xr:uid="{09C691D6-1E82-4946-826D-4A1DA479651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COGS improving: Q3 FY26 gross margin hit 59% (up from 52% YoY). Full-year blended lower due to H1 mix. Own Brands + backward integration (34 in-house APIs) driving structural improvement. Nivian consolidation adds slightly higher-margin IVF products.</t>
        </r>
      </text>
    </comment>
    <comment ref="H21" authorId="0" shapeId="0" xr:uid="{7D36158A-EE42-4AC2-B2E4-09D68C8A78D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Continued improvement as Own Brands share increases and Nivian cross-selling gains traction.</t>
        </r>
      </text>
    </comment>
    <comment ref="I21" authorId="0" shapeId="0" xr:uid="{321A2527-FF95-4C33-A872-5D59FDACDF5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FY28E: In-house API production fully scaled at Adley Lab + Derabassi.</t>
        </r>
      </text>
    </comment>
    <comment ref="J21" authorId="0" shapeId="0" xr:uid="{6BE2FE52-F0FC-4AD6-BE37-DC0A7DBD1BE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FY29E: Regulated market exports carry higher margins. Export mix shift positive.</t>
        </r>
      </text>
    </comment>
    <comment ref="K21" authorId="0" shapeId="0" xr:uid="{7D197441-20EC-494C-978B-6FD42D61A73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FY30E: Mature margin profile; ~58% gross margin.</t>
        </r>
      </text>
    </comment>
    <comment ref="G22" authorId="0" shapeId="0" xr:uid="{98089F64-EB5B-449B-9859-214B5A2CF0D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Employee cost JUMPED 21% YoY in Q3 FY26. Hiring regulatory/QA/QC teams for EU-GMP, ANVISA approvals. This is an INVESTMENT, not inefficiency — necessary for export approvals that unlock ₹100+ Cr revenue potential. Short-term margin drag, long-term value creator.</t>
        </r>
      </text>
    </comment>
    <comment ref="H22" authorId="0" shapeId="0" xr:uid="{E0D44F75-AA5F-4C13-B4B3-A6223B8A7F4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Operating leverage kicks in as revenue grows 36% but headcount grows ~12-15%. Fixed cost absorption improves.</t>
        </r>
      </text>
    </comment>
    <comment ref="G23" authorId="0" shapeId="0" xr:uid="{0A939BA1-3B54-4DF2-A0E2-794ABA4B692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Other expenses elevated due to R&amp;D spending, Inspira brand building, ISAR sponsorship, and new market entry costs.</t>
        </r>
      </text>
    </comment>
    <comment ref="G24" authorId="0" shapeId="0" xr:uid="{BF93755A-9237-434D-90B7-187312FB947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EBITDA margin: Q3 FY26 was 21.5%. Full-year FY26E ~22% as Nivian consolidation and employee cost drag offset gross margin improvement. Mgmt guides 24% for FY27.</t>
        </r>
      </text>
    </comment>
    <comment ref="H24" authorId="0" shapeId="0" xr:uid="{F25DD815-E8B2-4E5B-A8FE-50D1D517D7AC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Mgmt guided 24% EBITDA margin. We model 24.5% with operating leverage + margin mix improvement.</t>
        </r>
      </text>
    </comment>
    <comment ref="G26" authorId="0" shapeId="0" xr:uid="{BEBE0BC4-BCD1-4523-833F-D9812C6AE92E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Finance cost elevated in FY26 due to Nivian acquisition funding (₹20.82 Cr cash component). Company nearly net-debt-free otherwise.</t>
        </r>
      </text>
    </comment>
    <comment ref="G28" authorId="0" shapeId="0" xr:uid="{CA71280D-6FC8-4881-9C22-2C92B3941E5A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Net margin compressed in FY26 due to employee cost and finance cost drags. Recovery from FY27 as operating leverage + export margins kick in.</t>
        </r>
      </text>
    </comment>
    <comment ref="G33" authorId="0" shapeId="0" xr:uid="{21D94276-6CC5-4406-ADCF-742D80DADCC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Debtor days improving as export mix shifts to regulated markets (better payment discipline). Nivian adds some IVF channel receivables.</t>
        </r>
      </text>
    </comment>
    <comment ref="G36" authorId="0" shapeId="0" xr:uid="{9A7F1686-E2F6-48CB-8A56-D7531D6114B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Capex elevated: Derabassi expansion, R&amp;D center, EU-GMP upgrades, Nivian integration capex.</t>
        </r>
      </text>
    </comment>
    <comment ref="H36" authorId="0" shapeId="0" xr:uid="{706CBB3E-EFED-4BEA-A402-85138D5266E7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FY27E: Continued capacity expansion for export volumes.</t>
        </r>
      </text>
    </comment>
    <comment ref="G38" authorId="0" shapeId="0" xr:uid="{8EFACE77-6CB4-4D51-9200-64E576042F0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SHARES UPDATED: Base 1.01 Cr + 2,83,668 shares issued to Nivian promoters at ₹1,712.49/share (part of ₹69.4 Cr acquisition). Total now ~1.0384 Cr. Note: Includes both Nivian swap + prior HealthQuad/Tanas allotment.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H6" authorId="0" shapeId="0" xr:uid="{EA97F62A-51FA-4296-A54C-1BC033B1DAE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deal: +2,83,668 shares at ₹10 face value = ₹0.28 Cr additional share capital. Total: 10.1 + 0.28 = 10.38 Cr</t>
        </r>
      </text>
    </comment>
    <comment ref="H7" authorId="0" shapeId="0" xr:uid="{D28421CC-531F-4CF0-9457-D150E744121D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share swap premium: 2,83,668 shares at ₹1,712.49/share = ₹48.58 Cr total. Less ₹0.28 Cr face value = ₹48.3 Cr securities premium added to reserves.</t>
        </r>
      </text>
    </comment>
    <comment ref="H25" authorId="0" shapeId="0" xr:uid="{BF806841-DDAA-4F5C-9890-DB21579168A8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Includes ~₹45 Cr Nivian goodwill. Acquisition: 66.09% of ₹105 Cr company for ₹69.4 Cr. Goodwill = ₹69.4 Cr - (66.09% × net assets ~₹35 Cr) ≈ ₹46 Cr. Plus existing intangibles ₹25 Cr.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H13" authorId="0" shapeId="0" xr:uid="{91388B02-0657-4E78-BE65-0E8099F0B5F0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Includes ₹20.82 Cr cash payment for Nivian acquisition (part of ₹69.4 Cr total; balance via share swap). Intangible increase reflects Nivian goodwill.</t>
        </r>
      </text>
    </comment>
    <comment ref="H17" authorId="0" shapeId="0" xr:uid="{0C9B124A-B81B-4665-901D-AEC7B097BB33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Nivian share swap (₹48.58 Cr) is NON-CASH — does not appear in cash flow. Only the ₹20.82 Cr cash component flows through investing (via intangibles line). Debt changes reflect net borrowing movement.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H31" authorId="0" shapeId="0" xr:uid="{FD48FF0B-3213-48A3-B419-86D2C1282723}">
      <text>
        <r>
          <rPr>
            <b/>
            <sz val="9"/>
            <color indexed="81"/>
            <rFont val="Tahoma"/>
            <family val="2"/>
          </rPr>
          <t>CMP as of Feb 19, 2026 (₹1,101 closing price). Source: NSE/BSE market data.</t>
        </r>
      </text>
    </comment>
    <comment ref="H32" authorId="0" shapeId="0" xr:uid="{AC382302-33AF-4BB4-8034-D79F2618BAE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Market cap uses updated shares outstanding (1.0384 Cr) from Assumptions sheet, reflecting Nivian share issuance.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30" authorId="0" shapeId="0" xr:uid="{6C00EB07-7D09-48EF-B16A-A7C85840DF31}">
      <text>
        <r>
          <rPr>
            <b/>
            <sz val="9"/>
            <color indexed="81"/>
            <rFont val="Tahoma"/>
            <family val="2"/>
          </rPr>
          <t>CMP as of Feb 19, 2026 (₹1,101 closing price). Source: NSE/BSE market data.</t>
        </r>
      </text>
    </comment>
  </commentList>
</comments>
</file>

<file path=xl/sharedStrings.xml><?xml version="1.0" encoding="utf-8"?>
<sst xmlns="http://schemas.openxmlformats.org/spreadsheetml/2006/main" count="349" uniqueCount="260">
  <si>
    <t>BETA DRUGS LTD — KEY ASSUMPTIONS</t>
  </si>
  <si>
    <t>Consolidated | All figures in ₹ Crores unless stated otherwise</t>
  </si>
  <si>
    <t>1. REVENUE ASSUMPTIONS</t>
  </si>
  <si>
    <t>Assumption</t>
  </si>
  <si>
    <t>FY21A</t>
  </si>
  <si>
    <t>FY22A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</si>
  <si>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</si>
  <si>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</si>
  <si>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</si>
  <si>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</si>
  <si>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</si>
  <si>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</si>
  <si>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</si>
  <si>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</si>
  <si>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Revenue from Operations (₹ Cr)</t>
  </si>
  <si>
    <t>Revenue Growth (%)</t>
  </si>
  <si>
    <t>Revenue Mix:</t>
  </si>
  <si>
    <t xml:space="preserve">  Own Brands (₹ Cr)</t>
  </si>
  <si>
    <t xml:space="preserve">  CDMO / Contract Mfg (₹ Cr)</t>
  </si>
  <si>
    <t xml:space="preserve">  Exports (₹ Cr)</t>
  </si>
  <si>
    <t xml:space="preserve">  API Sales (₹ Cr)</t>
  </si>
  <si>
    <t xml:space="preserve">  Derma/Cosmetology (₹ Cr)</t>
  </si>
  <si>
    <t xml:space="preserve">  Other Income (₹ Cr)</t>
  </si>
  <si>
    <t>2. MARGIN &amp; COST ASSUMPTIONS</t>
  </si>
  <si>
    <t>COGS / Material Cost (% of Rev)</t>
  </si>
  <si>
    <t>Employee Cost (% of Rev)</t>
  </si>
  <si>
    <t>Other Expenses (% of Rev)</t>
  </si>
  <si>
    <t>EBITDA Margin (%)</t>
  </si>
  <si>
    <t>Depreciation (% of Rev)</t>
  </si>
  <si>
    <t>Finance Cost (% of Rev)</t>
  </si>
  <si>
    <t>Effective Tax Rate (%)</t>
  </si>
  <si>
    <t>Net Profit Margin (%)</t>
  </si>
  <si>
    <t>3. BALANCE SHEET &amp; WORKING CAPITAL ASSUMPTIONS</t>
  </si>
  <si>
    <t>Debtor Days</t>
  </si>
  <si>
    <t>Inventory Days</t>
  </si>
  <si>
    <t>Creditor Days</t>
  </si>
  <si>
    <t>Capex (₹ Cr)</t>
  </si>
  <si>
    <t>Capex (% of Rev)</t>
  </si>
  <si>
    <t>Equity Shares Outstanding (Cr)</t>
  </si>
  <si>
    <t>4. RATIONALE &amp; KEY NOTES</t>
  </si>
  <si>
    <t>Margin Expansion Rationale:</t>
  </si>
  <si>
    <t>Key Risks:</t>
  </si>
  <si>
    <t>BETA DRUGS LTD — CONSOLIDATED INCOME STATEMENT</t>
  </si>
  <si>
    <t>All figures in ₹ Crores | Year ending March</t>
  </si>
  <si>
    <t>Particulars</t>
  </si>
  <si>
    <t>Revenue from Operations</t>
  </si>
  <si>
    <t xml:space="preserve">  YoY Growth (%)</t>
  </si>
  <si>
    <t>Other Income</t>
  </si>
  <si>
    <t>Total Income</t>
  </si>
  <si>
    <t>EXPENSES:</t>
  </si>
  <si>
    <t>Cost of Materials / COGS</t>
  </si>
  <si>
    <t xml:space="preserve">  % of Revenue</t>
  </si>
  <si>
    <t>Employee Benefit Expense</t>
  </si>
  <si>
    <t>Other Expenses</t>
  </si>
  <si>
    <t>Total Operating Expenses</t>
  </si>
  <si>
    <t>EBITDA</t>
  </si>
  <si>
    <t xml:space="preserve">  EBITDA Margin (%)</t>
  </si>
  <si>
    <t>Depreciation &amp; Amortization</t>
  </si>
  <si>
    <t>Finance Cost</t>
  </si>
  <si>
    <t>Profit Before Tax (PBT)</t>
  </si>
  <si>
    <t>Tax Expense</t>
  </si>
  <si>
    <t xml:space="preserve">  Effective Tax Rate (%)</t>
  </si>
  <si>
    <t>NET PROFIT (PAT)</t>
  </si>
  <si>
    <t xml:space="preserve">  Net Profit Margin (%)</t>
  </si>
  <si>
    <t>EPS (₹)</t>
  </si>
  <si>
    <t>Shares Outstanding (Cr)</t>
  </si>
  <si>
    <t>BETA DRUGS LTD — CONSOLIDATED BALANCE SHEET</t>
  </si>
  <si>
    <t>All figures in ₹ Crores | As at March end</t>
  </si>
  <si>
    <t>EQUITY &amp; LIABILITIES</t>
  </si>
  <si>
    <t>Share Capital</t>
  </si>
  <si>
    <t>Reserves &amp; Surplus</t>
  </si>
  <si>
    <t>Total Equity</t>
  </si>
  <si>
    <t>Non-Current Liabilities</t>
  </si>
  <si>
    <t xml:space="preserve">  Long-term Borrowings</t>
  </si>
  <si>
    <t xml:space="preserve">  Other Non-Current Liabilities</t>
  </si>
  <si>
    <t>Current Liabilities</t>
  </si>
  <si>
    <t xml:space="preserve">  Trade Payables</t>
  </si>
  <si>
    <t xml:space="preserve">  Short-term Borrowings</t>
  </si>
  <si>
    <t xml:space="preserve">  Other Current Liabilities</t>
  </si>
  <si>
    <t>Total Current Liabilities</t>
  </si>
  <si>
    <t>TOTAL EQUITY &amp; LIABILITIES</t>
  </si>
  <si>
    <t>ASSETS</t>
  </si>
  <si>
    <t>Non-Current Assets</t>
  </si>
  <si>
    <t xml:space="preserve">  Net Fixed Assets (PPE)</t>
  </si>
  <si>
    <t xml:space="preserve">  Intangible Assets &amp; CWIP</t>
  </si>
  <si>
    <t xml:space="preserve">  Other Non-Current Assets</t>
  </si>
  <si>
    <t>Current Assets</t>
  </si>
  <si>
    <t xml:space="preserve">  Inventories</t>
  </si>
  <si>
    <t xml:space="preserve">  Trade Receivables</t>
  </si>
  <si>
    <t xml:space="preserve">  Cash &amp; Cash Equivalents</t>
  </si>
  <si>
    <t xml:space="preserve">  Other Current Assets</t>
  </si>
  <si>
    <t>TOTAL ASSETS</t>
  </si>
  <si>
    <t>BETA DRUGS LTD — CASH FLOW STATEMENT</t>
  </si>
  <si>
    <t>All figures in ₹ Crores</t>
  </si>
  <si>
    <t>A. CASH FLOW FROM OPERATIONS</t>
  </si>
  <si>
    <t>Net Profit (PAT)</t>
  </si>
  <si>
    <t>(+) Depreciation &amp; Amortization</t>
  </si>
  <si>
    <t>(+/-) Working Capital Changes</t>
  </si>
  <si>
    <t>Cash from Operations (CFO)</t>
  </si>
  <si>
    <t>B. CASH FLOW FROM INVESTING</t>
  </si>
  <si>
    <t>(-) Capital Expenditure</t>
  </si>
  <si>
    <t>(-) Investments &amp; Others</t>
  </si>
  <si>
    <t>Cash from Investing (CFI)</t>
  </si>
  <si>
    <t>C. CASH FLOW FROM FINANCING</t>
  </si>
  <si>
    <t>(+/-) Debt (Repayment)/Raised</t>
  </si>
  <si>
    <t>Cash from Financing (CFF)</t>
  </si>
  <si>
    <t>NET CHANGE IN CASH</t>
  </si>
  <si>
    <t>FREE CASH FLOW (CFO - Capex)</t>
  </si>
  <si>
    <t xml:space="preserve">  FCF Margin (%)</t>
  </si>
  <si>
    <t>BETA DRUGS LTD — KEY RATIOS &amp; VALUATION</t>
  </si>
  <si>
    <t>All figures in ₹ Crores unless stated otherwise</t>
  </si>
  <si>
    <t>Key Metrics</t>
  </si>
  <si>
    <t>PROFITABILITY RATIOS</t>
  </si>
  <si>
    <t>Gross Margin (%)</t>
  </si>
  <si>
    <t>ROE (%)</t>
  </si>
  <si>
    <t>ROCE (%)</t>
  </si>
  <si>
    <t>PER SHARE METRICS</t>
  </si>
  <si>
    <t>Book Value / Share (₹)</t>
  </si>
  <si>
    <t>EPS Growth (%)</t>
  </si>
  <si>
    <t>EFFICIENCY RATIOS</t>
  </si>
  <si>
    <t>Debt/Equity</t>
  </si>
  <si>
    <t>Current Ratio</t>
  </si>
  <si>
    <t>Interest Coverage (x)</t>
  </si>
  <si>
    <t>GROWTH METRICS</t>
  </si>
  <si>
    <t>EBITDA Growth (%)</t>
  </si>
  <si>
    <t>PAT Growth (%)</t>
  </si>
  <si>
    <t>VALUATION METRICS</t>
  </si>
  <si>
    <t>CMP (₹)</t>
  </si>
  <si>
    <t>Market Cap (₹ Cr)</t>
  </si>
  <si>
    <t>P/E Ratio (x)</t>
  </si>
  <si>
    <t>EV/EBITDA (x)</t>
  </si>
  <si>
    <t>P/BV (x)</t>
  </si>
  <si>
    <t>REVENUE CAGR</t>
  </si>
  <si>
    <t>FY21-FY25 Revenue CAGR</t>
  </si>
  <si>
    <t>FY25-FY30E Revenue CAGR</t>
  </si>
  <si>
    <t>FY25-FY30E PAT CAGR</t>
  </si>
  <si>
    <t>(-) Dividends Paid</t>
  </si>
  <si>
    <t>Opening Cash Balance</t>
  </si>
  <si>
    <t>Closing Cash Balance</t>
  </si>
  <si>
    <t>BETA DRUGS LTD — VALUATION ANALYSIS</t>
  </si>
  <si>
    <t>DCF &amp; Comparable Company Analysis | All figures in ₹ Crores unless stated otherwise</t>
  </si>
  <si>
    <t>SECTION A: KEY ASSUMPTIONS</t>
  </si>
  <si>
    <t>Parameter</t>
  </si>
  <si>
    <t>Value</t>
  </si>
  <si>
    <t>Notes</t>
  </si>
  <si>
    <t>WACC (Base Case)</t>
  </si>
  <si>
    <t>Mid-cap Indian Pharma benchmark</t>
  </si>
  <si>
    <t>Terminal Growth Rate (g)</t>
  </si>
  <si>
    <t>Per user specification</t>
  </si>
  <si>
    <t>From Income Statement</t>
  </si>
  <si>
    <t>Current Net Debt (FY25A)</t>
  </si>
  <si>
    <t>LT Borrow + ST Borrow - Cash (FY25A)</t>
  </si>
  <si>
    <t>Projection Period</t>
  </si>
  <si>
    <t>FY26E – FY30E (5 Years)</t>
  </si>
  <si>
    <t>Valuation Date</t>
  </si>
  <si>
    <t>As of FY25A (Mar 2025)</t>
  </si>
  <si>
    <t>Discount Method</t>
  </si>
  <si>
    <t>Mid-Year Convention</t>
  </si>
  <si>
    <t>SECTION B: DCF VALUATION</t>
  </si>
  <si>
    <t>Free Cash Flow (₹ Cr)</t>
  </si>
  <si>
    <t>Discount Period (Mid-Year)</t>
  </si>
  <si>
    <t>Discount Factor</t>
  </si>
  <si>
    <t>PV of FCF (₹ Cr)</t>
  </si>
  <si>
    <t>Sum of PV of FCFs</t>
  </si>
  <si>
    <t>Terminal Value (Gordon Growth)</t>
  </si>
  <si>
    <t>PV of Terminal Value</t>
  </si>
  <si>
    <t>(-) Net Debt (FY25A)</t>
  </si>
  <si>
    <t>Enterprise Value (Rs Cr)</t>
  </si>
  <si>
    <t>Equity Value (Rs Cr)</t>
  </si>
  <si>
    <t>DCF Value per Share (Rs)</t>
  </si>
  <si>
    <t>Current Market Price (Rs)</t>
  </si>
  <si>
    <t>Neg = Net Cash (adds to equity)</t>
  </si>
  <si>
    <t>SECTION C: DCF SENSITIVITY TABLE (Value per Share in Rs)</t>
  </si>
  <si>
    <t>WACC \ Terminal Growth</t>
  </si>
  <si>
    <t>SECTION D: COMPARABLE COMPANY ANALYSIS</t>
  </si>
  <si>
    <t>Company</t>
  </si>
  <si>
    <t>Mkt Cap (Rs Cr)</t>
  </si>
  <si>
    <t>Revenue (Rs Cr)</t>
  </si>
  <si>
    <t>P/E (TTM)</t>
  </si>
  <si>
    <t>EV/EBITDA</t>
  </si>
  <si>
    <t>EV/Revenue</t>
  </si>
  <si>
    <t>P/Sales</t>
  </si>
  <si>
    <t>Source</t>
  </si>
  <si>
    <t>Natco Pharma</t>
  </si>
  <si>
    <t>Alkem Laboratories</t>
  </si>
  <si>
    <t>Ajanta Pharma</t>
  </si>
  <si>
    <t>Aurobindo Pharma</t>
  </si>
  <si>
    <t>Sun Pharma</t>
  </si>
  <si>
    <t>Bliss GVS Pharma</t>
  </si>
  <si>
    <t>Indoco Remedies</t>
  </si>
  <si>
    <t>Panacea Biotec</t>
  </si>
  <si>
    <t>Median</t>
  </si>
  <si>
    <t>Mean</t>
  </si>
  <si>
    <t>SECTION E: IMPLIED VALUATION FROM COMPS</t>
  </si>
  <si>
    <t>Beta Drugs Metric</t>
  </si>
  <si>
    <t>FY25A Value</t>
  </si>
  <si>
    <t>FY30E Value</t>
  </si>
  <si>
    <t>Income Statement</t>
  </si>
  <si>
    <t>EBITDA (Rs Cr)</t>
  </si>
  <si>
    <t>PAT (Rs Cr)</t>
  </si>
  <si>
    <t>Net Debt (Rs Cr)</t>
  </si>
  <si>
    <t>Balance Sheet</t>
  </si>
  <si>
    <t>Implied Valuation (Median Multiples)</t>
  </si>
  <si>
    <t>FY25A Basis</t>
  </si>
  <si>
    <t>FY30E Basis</t>
  </si>
  <si>
    <t>FY25A / Share</t>
  </si>
  <si>
    <t>FY30E / Share</t>
  </si>
  <si>
    <t>Method</t>
  </si>
  <si>
    <t>(Rs Cr)</t>
  </si>
  <si>
    <t>(Rs)</t>
  </si>
  <si>
    <t>P/E Method</t>
  </si>
  <si>
    <t>EV/EBITDA Method</t>
  </si>
  <si>
    <t>EV/Revenue Method</t>
  </si>
  <si>
    <t>P/Sales Method</t>
  </si>
  <si>
    <t>SECTION F: VALUATION SUMMARY (Rs per Share)</t>
  </si>
  <si>
    <t>Low (FY25A)</t>
  </si>
  <si>
    <t>Base Case</t>
  </si>
  <si>
    <t>High (FY30E)</t>
  </si>
  <si>
    <t>DCF (WACC Sensitivity)</t>
  </si>
  <si>
    <t>WACC 11-16%, g 3-7%</t>
  </si>
  <si>
    <t>Median P/E applied</t>
  </si>
  <si>
    <t>Median EV/EBITDA applied</t>
  </si>
  <si>
    <t>Median EV/Rev applied</t>
  </si>
  <si>
    <t>Median P/Sales applied</t>
  </si>
  <si>
    <t>Current Market Price</t>
  </si>
  <si>
    <t>Feb 2026 approx.</t>
  </si>
  <si>
    <t>PV of FCFs + PV of TV</t>
  </si>
  <si>
    <t>Equity Value / Shares</t>
  </si>
  <si>
    <t>FCF(FY30E) x (1+g) / (WACC-g)</t>
  </si>
  <si>
    <t>DISCLAIMER &amp; SOURCES</t>
  </si>
  <si>
    <t xml:space="preserve">  IVF / Nivian Life Sciences (₹ Cr)</t>
  </si>
  <si>
    <t>• FY26E: Mgmt guided ₹400 Cr (revised DOWN from ₹420 Cr). Q3 revenue dipped to ₹89.58 Cr due to: (a) strategic exit from Platin CDMO (~₹46.5 Cr FY25), (b) export tender delays. This is STRUCTURAL, not seasonal.</t>
  </si>
  <si>
    <t>• FY27E: Mgmt targets ₹530 Cr with 24% EBITDA margin. Growth drivers: NDDS launches (Methotrexate Oral ~₹13 Cr), export ramp-up (EU-GMP/ANVISA/COFEPRIS approvals), Nivian cross-selling via Beta's gynec distribution network.</t>
  </si>
  <si>
    <t>• FY28E-FY30E: Revenue doubling target (₹750 Cr by FY28). We model ~₹720 Cr, slightly conservative. Long-term growth tapers from 32% → 24% as base effect kicks in.</t>
  </si>
  <si>
    <t>• Export thesis: CAGR was 64% (FY20-FY25). We assume 25-35% forward growth as regulated market registrations (EU, LatAm, Africa) come through. 21% employee cost increase in FY26 is INVESTMENT for regulatory teams.</t>
  </si>
  <si>
    <t>• EBITDA margins guided 23-25% range. Q3 FY26 EBITDA was 21.5% but gross margin hit 59% (up from 52% YoY) — product mix shift is WORKING. Operating leverage temporarily hit by employee hiring.</t>
  </si>
  <si>
    <t>• COGS structural improvement: 34 oncology APIs manufactured in-house (Adley Lab, Derabassi). Backward integration reducing raw material dependence. Each % of COGS saved = ~₹4-5 Cr at ₹400 Cr revenue.</t>
  </si>
  <si>
    <t>• Inspira Derma turned profitable Nov 2025 — margin drag ELIMINATED. Nivian IVF products carry healthy margins given branded specialty nature.</t>
  </si>
  <si>
    <t>• Employee cost (+21% YoY in FY26) is front-loaded investment. As revenue scales 36%+ in FY27 but headcount grows ~12-15%, operating leverage RECOVERS sharply.</t>
  </si>
  <si>
    <t>IVF / Nivian Acquisition Rationale:</t>
  </si>
  <si>
    <t>• India IVF market: USD 1.06B (2023), growing 7.8% CAGR to 2030. Nivian positioned in a structural growth theme at an attractive entry valuation (~₹105 Cr overall, ~2.4x revenue).</t>
  </si>
  <si>
    <t>• Cross-selling synergies: Beta already has gynec field force and oncologist relationships. IVF products can leverage same distribution. Acquisition creates a fertility + oncology + derma therapeutic basket.</t>
  </si>
  <si>
    <t>• Regulatory delays in EU-GMP/ANVISA approvals; competitive intensity in oncology tenders; Nivian integration risk; export tender unpredictability; currency risk; concentration in top 10 brands (~50% of sales)</t>
  </si>
  <si>
    <t>• SCUTTLEBUTT VALIDATION: Speaking to a few gynecologists have confirmed that most of them use Nivian products. Nivian is official sponsor of upcoming ISAR (national infertility conference) — premium brand positioning.</t>
  </si>
  <si>
    <t>vs CMP</t>
  </si>
  <si>
    <t>Rating</t>
  </si>
  <si>
    <t>Rationale</t>
  </si>
  <si>
    <t>DCF base case implies ~70% upside (₹1,874 vs CMP ₹1,101). ALL five valuation methods show significant upside across low, base, and high scenarios. Even the most conservative case (EV/Revenue, FY25A basis) shows 7% upside. Structurally, the business is transitioning from a CDMO-dependent model to a higher-margin own-brands + exports + IVF platform. Near-term headwinds (Platin exit, employee cost spike, export delays) are KNOWN and PRICED IN. Scuttlebutt confirms Nivian product traction. FY27E guidance of ₹530 Cr / 24% EBITDA margin provides a credible recovery catalyst. Recommend Overweight — not a max-conviction Buy given execution risks on EU-GMP/export approvals and Nivian integration, but the risk-reward is compelling at current levels.</t>
  </si>
  <si>
    <t>Rating Framework:</t>
  </si>
  <si>
    <t>Buy (&gt;40% upside, high conviction) | Overweight (20-40% upside OR &gt;40% with execution risk) | Equal Weight (±20%) | Underweight (-20% to -40%) | Sell (&gt;40% downside)</t>
  </si>
  <si>
    <t xml:space="preserve">  DCF Upside / (Downside)</t>
  </si>
  <si>
    <t xml:space="preserve">  P/E Upside / (Downside)</t>
  </si>
  <si>
    <t xml:space="preserve">  EV/EBITDA Upside / (Downside)</t>
  </si>
  <si>
    <t xml:space="preserve">  EV/Revenue Upside / (Downside)</t>
  </si>
  <si>
    <t xml:space="preserve">  P/Sales Upside / (Downside)</t>
  </si>
  <si>
    <t>SECTION G: INVESTMENT RATING</t>
  </si>
  <si>
    <t>BUY ▲</t>
  </si>
  <si>
    <t>DCF assumptions: WACC 13% (mid-cap Indian pharma benchmark), Terminal growth 5% assumed, All financial data from model's IS/BS/CF statements.</t>
  </si>
  <si>
    <t>• FY26E Nivian Contribution: ₹43 Cr (9M actual ₹30.3 Cr). 66.09% stake acquired for ₹69.4 Cr. SCUTTLEBUTT: Gynecologists actively using Nivian products - confirms market adoption before financial data shows it.</t>
  </si>
  <si>
    <t>B/S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</si>
</sst>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00"/>
    <numFmt numFmtId="167" formatCode="0.0\x"/>
    <numFmt numFmtId="168" formatCode="0.0"/>
    <numFmt numFmtId="169" formatCode="0.00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4472C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80808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10"/>
      <color rgb="FF808080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80808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rgb="FF80808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5" fillId="0" borderId="0" xfId="0" applyNumberFormat="1" applyFont="1"/>
    <xf numFmtId="164" fontId="0" fillId="0" borderId="0" xfId="0" applyNumberFormat="1"/>
    <xf numFmtId="164" fontId="6" fillId="0" borderId="0" xfId="0" applyNumberFormat="1" applyFont="1"/>
    <xf numFmtId="165" fontId="0" fillId="0" borderId="0" xfId="0" applyNumberFormat="1"/>
    <xf numFmtId="165" fontId="6" fillId="0" borderId="0" xfId="0" applyNumberFormat="1" applyFont="1"/>
    <xf numFmtId="0" fontId="7" fillId="0" borderId="0" xfId="0" applyFont="1"/>
    <xf numFmtId="165" fontId="1" fillId="0" borderId="0" xfId="0" applyNumberFormat="1" applyFont="1"/>
    <xf numFmtId="165" fontId="8" fillId="0" borderId="0" xfId="0" applyNumberFormat="1" applyFont="1"/>
    <xf numFmtId="1" fontId="0" fillId="0" borderId="0" xfId="0" applyNumberFormat="1"/>
    <xf numFmtId="1" fontId="6" fillId="0" borderId="0" xfId="0" applyNumberFormat="1" applyFont="1"/>
    <xf numFmtId="166" fontId="0" fillId="0" borderId="0" xfId="0" applyNumberFormat="1"/>
    <xf numFmtId="166" fontId="6" fillId="0" borderId="0" xfId="0" applyNumberFormat="1" applyFont="1"/>
    <xf numFmtId="0" fontId="9" fillId="0" borderId="0" xfId="0" applyFont="1"/>
    <xf numFmtId="0" fontId="4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5" fontId="12" fillId="0" borderId="0" xfId="0" applyNumberFormat="1" applyFont="1"/>
    <xf numFmtId="0" fontId="1" fillId="6" borderId="0" xfId="0" applyFont="1" applyFill="1"/>
    <xf numFmtId="0" fontId="0" fillId="6" borderId="0" xfId="0" applyFill="1"/>
    <xf numFmtId="164" fontId="1" fillId="0" borderId="0" xfId="0" applyNumberFormat="1" applyFont="1"/>
    <xf numFmtId="164" fontId="1" fillId="6" borderId="0" xfId="0" applyNumberFormat="1" applyFont="1" applyFill="1"/>
    <xf numFmtId="0" fontId="13" fillId="0" borderId="0" xfId="0" applyFont="1"/>
    <xf numFmtId="0" fontId="0" fillId="7" borderId="0" xfId="0" applyFill="1"/>
    <xf numFmtId="164" fontId="0" fillId="7" borderId="0" xfId="0" applyNumberFormat="1" applyFill="1"/>
    <xf numFmtId="165" fontId="14" fillId="0" borderId="0" xfId="0" applyNumberFormat="1" applyFont="1"/>
    <xf numFmtId="0" fontId="1" fillId="8" borderId="0" xfId="0" applyFont="1" applyFill="1"/>
    <xf numFmtId="0" fontId="0" fillId="8" borderId="0" xfId="0" applyFill="1"/>
    <xf numFmtId="164" fontId="1" fillId="8" borderId="0" xfId="0" applyNumberFormat="1" applyFont="1" applyFill="1"/>
    <xf numFmtId="0" fontId="15" fillId="0" borderId="0" xfId="0" applyFont="1"/>
    <xf numFmtId="0" fontId="15" fillId="2" borderId="0" xfId="0" applyFont="1" applyFill="1"/>
    <xf numFmtId="0" fontId="6" fillId="0" borderId="0" xfId="0" applyFont="1"/>
    <xf numFmtId="3" fontId="6" fillId="9" borderId="0" xfId="0" applyNumberFormat="1" applyFont="1" applyFill="1"/>
    <xf numFmtId="4" fontId="0" fillId="0" borderId="0" xfId="0" applyNumberFormat="1"/>
    <xf numFmtId="168" fontId="0" fillId="0" borderId="0" xfId="0" applyNumberFormat="1"/>
    <xf numFmtId="2" fontId="0" fillId="0" borderId="0" xfId="0" applyNumberFormat="1"/>
    <xf numFmtId="0" fontId="16" fillId="0" borderId="0" xfId="0" applyFont="1"/>
    <xf numFmtId="169" fontId="0" fillId="0" borderId="0" xfId="0" applyNumberFormat="1"/>
    <xf numFmtId="4" fontId="1" fillId="0" borderId="0" xfId="0" applyNumberFormat="1" applyFont="1"/>
    <xf numFmtId="0" fontId="17" fillId="0" borderId="0" xfId="0" applyFont="1"/>
    <xf numFmtId="4" fontId="1" fillId="6" borderId="0" xfId="0" applyNumberFormat="1" applyFont="1" applyFill="1"/>
    <xf numFmtId="0" fontId="18" fillId="10" borderId="0" xfId="0" applyFont="1" applyFill="1"/>
    <xf numFmtId="3" fontId="18" fillId="10" borderId="0" xfId="0" applyNumberFormat="1" applyFont="1" applyFill="1"/>
    <xf numFmtId="3" fontId="6" fillId="0" borderId="0" xfId="0" applyNumberFormat="1" applyFont="1"/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1" fillId="10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/>
    <xf numFmtId="3" fontId="0" fillId="0" borderId="1" xfId="0" applyNumberFormat="1" applyBorder="1"/>
    <xf numFmtId="167" fontId="0" fillId="0" borderId="1" xfId="0" applyNumberFormat="1" applyBorder="1"/>
    <xf numFmtId="0" fontId="0" fillId="0" borderId="1" xfId="0" applyBorder="1"/>
    <xf numFmtId="167" fontId="1" fillId="6" borderId="1" xfId="0" applyNumberFormat="1" applyFont="1" applyFill="1" applyBorder="1"/>
    <xf numFmtId="167" fontId="1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0" borderId="1" xfId="0" applyFont="1" applyBorder="1"/>
    <xf numFmtId="0" fontId="17" fillId="0" borderId="1" xfId="0" applyFont="1" applyBorder="1"/>
    <xf numFmtId="3" fontId="1" fillId="10" borderId="1" xfId="0" applyNumberFormat="1" applyFont="1" applyFill="1" applyBorder="1"/>
    <xf numFmtId="3" fontId="9" fillId="0" borderId="2" xfId="0" applyNumberFormat="1" applyFont="1" applyBorder="1"/>
    <xf numFmtId="0" fontId="1" fillId="0" borderId="2" xfId="0" applyFont="1" applyBorder="1"/>
    <xf numFmtId="0" fontId="17" fillId="0" borderId="2" xfId="0" applyFont="1" applyBorder="1"/>
    <xf numFmtId="0" fontId="19" fillId="0" borderId="0" xfId="0" applyFont="1"/>
    <xf numFmtId="3" fontId="9" fillId="0" borderId="0" xfId="0" applyNumberFormat="1" applyFont="1"/>
    <xf numFmtId="0" fontId="21" fillId="12" borderId="0" xfId="0" applyFont="1" applyFill="1"/>
    <xf numFmtId="165" fontId="21" fillId="12" borderId="0" xfId="0" applyNumberFormat="1" applyFont="1" applyFill="1"/>
    <xf numFmtId="0" fontId="22" fillId="12" borderId="0" xfId="0" applyFont="1" applyFill="1"/>
    <xf numFmtId="0" fontId="23" fillId="3" borderId="0" xfId="0" applyFont="1" applyFill="1"/>
    <xf numFmtId="3" fontId="9" fillId="3" borderId="0" xfId="0" applyNumberFormat="1" applyFont="1" applyFill="1"/>
    <xf numFmtId="0" fontId="17" fillId="3" borderId="0" xfId="0" applyFont="1" applyFill="1"/>
    <xf numFmtId="0" fontId="21" fillId="2" borderId="0" xfId="0" applyFont="1" applyFill="1"/>
    <xf numFmtId="3" fontId="21" fillId="2" borderId="0" xfId="0" applyNumberFormat="1" applyFont="1" applyFill="1"/>
    <xf numFmtId="3" fontId="9" fillId="2" borderId="0" xfId="0" applyNumberFormat="1" applyFont="1" applyFill="1"/>
    <xf numFmtId="0" fontId="17" fillId="2" borderId="0" xfId="0" applyFont="1" applyFill="1"/>
    <xf numFmtId="0" fontId="26" fillId="0" borderId="0" xfId="0" applyFont="1"/>
    <xf numFmtId="0" fontId="24" fillId="13" borderId="0" xfId="0" applyFont="1" applyFill="1" applyAlignment="1">
      <alignment horizontal="center" vertical="center"/>
    </xf>
    <xf numFmtId="0" fontId="20" fillId="11" borderId="0" xfId="0" applyFont="1" applyFill="1"/>
    <xf numFmtId="0" fontId="22" fillId="0" borderId="0" xfId="0" applyFont="1" applyAlignment="1">
      <alignment wrapText="1"/>
    </xf>
    <xf numFmtId="0" fontId="25" fillId="11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864AC5-1B42-4BA0-A15B-890BDEF6BA50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D414-9836-44FB-B4AA-6065B53BC70B}">
  <dimension ref="A1:K61"/>
  <sheetViews>
    <sheetView tabSelected="1" workbookViewId="0">
      <selection activeCell="J48" sqref="J48"/>
    </sheetView>
  </sheetViews>
  <sheetFormatPr defaultRowHeight="14.4" x14ac:dyDescent="0.3"/>
  <cols>
    <col min="1" max="1" width="51.88671875" customWidth="1"/>
  </cols>
  <sheetData>
    <row r="1" spans="1:11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4" t="s">
        <v>1</v>
      </c>
    </row>
    <row r="4" spans="1:11" x14ac:dyDescent="0.3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x14ac:dyDescent="0.3">
      <c r="A5" s="8" t="s">
        <v>3</v>
      </c>
      <c r="B5" s="9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</row>
    <row r="6" spans="1:11" x14ac:dyDescent="0.3">
      <c r="A6" s="7" t="s">
        <v>14</v>
      </c>
      <c r="B6" s="11">
        <v>91.2</v>
      </c>
      <c r="C6" s="12">
        <v>184</v>
      </c>
      <c r="D6" s="12">
        <v>227.1</v>
      </c>
      <c r="E6" s="12">
        <v>297.10000000000002</v>
      </c>
      <c r="F6" s="12">
        <v>368.8</v>
      </c>
      <c r="G6" s="13">
        <v>400</v>
      </c>
      <c r="H6" s="13">
        <v>545</v>
      </c>
      <c r="I6" s="13">
        <v>720</v>
      </c>
      <c r="J6" s="13">
        <v>920</v>
      </c>
      <c r="K6" s="13">
        <v>1140</v>
      </c>
    </row>
    <row r="7" spans="1:11" x14ac:dyDescent="0.3">
      <c r="A7" t="s">
        <v>15</v>
      </c>
      <c r="B7" s="14">
        <v>0.28000000000000003</v>
      </c>
      <c r="C7" s="14">
        <v>0.57999999999999996</v>
      </c>
      <c r="D7" s="14">
        <v>0.23400000000000001</v>
      </c>
      <c r="E7" s="14">
        <v>0.308</v>
      </c>
      <c r="F7" s="14">
        <v>0.24099999999999999</v>
      </c>
      <c r="G7" s="15">
        <v>8.5000000000000006E-2</v>
      </c>
      <c r="H7" s="15">
        <v>0.36249999999999999</v>
      </c>
      <c r="I7" s="15">
        <v>0.32100000000000001</v>
      </c>
      <c r="J7" s="15">
        <v>0.27800000000000002</v>
      </c>
      <c r="K7" s="15">
        <v>0.23899999999999999</v>
      </c>
    </row>
    <row r="9" spans="1:11" x14ac:dyDescent="0.3">
      <c r="A9" s="16" t="s">
        <v>16</v>
      </c>
    </row>
    <row r="10" spans="1:11" x14ac:dyDescent="0.3">
      <c r="A10" t="s">
        <v>17</v>
      </c>
      <c r="B10" s="12">
        <v>42</v>
      </c>
      <c r="C10" s="12">
        <v>72</v>
      </c>
      <c r="D10" s="12">
        <v>82</v>
      </c>
      <c r="E10" s="12">
        <v>100</v>
      </c>
      <c r="F10" s="12">
        <v>125.3</v>
      </c>
      <c r="G10" s="13">
        <v>175</v>
      </c>
      <c r="H10" s="13">
        <v>240</v>
      </c>
      <c r="I10" s="13">
        <v>310</v>
      </c>
      <c r="J10" s="13">
        <v>390</v>
      </c>
      <c r="K10" s="13">
        <v>470</v>
      </c>
    </row>
    <row r="11" spans="1:11" x14ac:dyDescent="0.3">
      <c r="A11" t="s">
        <v>18</v>
      </c>
      <c r="B11" s="12">
        <v>38</v>
      </c>
      <c r="C11" s="12">
        <v>75</v>
      </c>
      <c r="D11" s="12">
        <v>90</v>
      </c>
      <c r="E11" s="12">
        <v>105</v>
      </c>
      <c r="F11" s="12">
        <v>110</v>
      </c>
      <c r="G11" s="13">
        <v>65</v>
      </c>
      <c r="H11" s="13">
        <v>75</v>
      </c>
      <c r="I11" s="13">
        <v>85</v>
      </c>
      <c r="J11" s="13">
        <v>95</v>
      </c>
      <c r="K11" s="13">
        <v>105</v>
      </c>
    </row>
    <row r="12" spans="1:11" x14ac:dyDescent="0.3">
      <c r="A12" t="s">
        <v>19</v>
      </c>
      <c r="B12" s="12">
        <v>5</v>
      </c>
      <c r="C12" s="12">
        <v>20</v>
      </c>
      <c r="D12" s="12">
        <v>30</v>
      </c>
      <c r="E12" s="12">
        <v>46</v>
      </c>
      <c r="F12" s="12">
        <v>80</v>
      </c>
      <c r="G12" s="13">
        <v>85</v>
      </c>
      <c r="H12" s="13">
        <v>140</v>
      </c>
      <c r="I12" s="13">
        <v>210</v>
      </c>
      <c r="J12" s="13">
        <v>300</v>
      </c>
      <c r="K12" s="13">
        <v>390</v>
      </c>
    </row>
    <row r="13" spans="1:11" x14ac:dyDescent="0.3">
      <c r="A13" t="s">
        <v>20</v>
      </c>
      <c r="B13" s="12">
        <v>4</v>
      </c>
      <c r="C13" s="12">
        <v>12</v>
      </c>
      <c r="D13" s="12">
        <v>18</v>
      </c>
      <c r="E13" s="12">
        <v>28</v>
      </c>
      <c r="F13" s="12">
        <v>35</v>
      </c>
      <c r="G13" s="13">
        <v>15</v>
      </c>
      <c r="H13" s="13">
        <v>20</v>
      </c>
      <c r="I13" s="13">
        <v>25</v>
      </c>
      <c r="J13" s="13">
        <v>30</v>
      </c>
      <c r="K13" s="13">
        <v>35</v>
      </c>
    </row>
    <row r="14" spans="1:11" x14ac:dyDescent="0.3">
      <c r="A14" t="s">
        <v>21</v>
      </c>
      <c r="B14" s="12">
        <v>0</v>
      </c>
      <c r="C14" s="12">
        <v>0</v>
      </c>
      <c r="D14" s="12">
        <v>3</v>
      </c>
      <c r="E14" s="12">
        <v>10</v>
      </c>
      <c r="F14" s="12">
        <v>15</v>
      </c>
      <c r="G14" s="13">
        <v>17</v>
      </c>
      <c r="H14" s="13">
        <v>22</v>
      </c>
      <c r="I14" s="13">
        <v>28</v>
      </c>
      <c r="J14" s="13">
        <v>35</v>
      </c>
      <c r="K14" s="13">
        <v>42</v>
      </c>
    </row>
    <row r="15" spans="1:11" x14ac:dyDescent="0.3">
      <c r="A15" s="86" t="s">
        <v>230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3">
        <v>43</v>
      </c>
      <c r="H15" s="13">
        <v>48</v>
      </c>
      <c r="I15" s="13">
        <v>62</v>
      </c>
      <c r="J15" s="13">
        <v>70</v>
      </c>
      <c r="K15" s="13">
        <v>98</v>
      </c>
    </row>
    <row r="16" spans="1:11" x14ac:dyDescent="0.3">
      <c r="A16" t="s">
        <v>22</v>
      </c>
      <c r="B16" s="12">
        <v>2.2000000000000002</v>
      </c>
      <c r="C16" s="12">
        <v>5</v>
      </c>
      <c r="D16" s="12">
        <v>4.0999999999999996</v>
      </c>
      <c r="E16" s="12">
        <v>8.1</v>
      </c>
      <c r="F16" s="12">
        <v>3.5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</row>
    <row r="19" spans="1:11" x14ac:dyDescent="0.3">
      <c r="A19" s="5" t="s">
        <v>23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1" x14ac:dyDescent="0.3">
      <c r="A20" s="8" t="s">
        <v>3</v>
      </c>
      <c r="B20" s="9" t="s">
        <v>4</v>
      </c>
      <c r="C20" s="9" t="s">
        <v>5</v>
      </c>
      <c r="D20" s="9" t="s">
        <v>6</v>
      </c>
      <c r="E20" s="9" t="s">
        <v>7</v>
      </c>
      <c r="F20" s="9" t="s">
        <v>8</v>
      </c>
      <c r="G20" s="10" t="s">
        <v>9</v>
      </c>
      <c r="H20" s="10" t="s">
        <v>10</v>
      </c>
      <c r="I20" s="10" t="s">
        <v>11</v>
      </c>
      <c r="J20" s="10" t="s">
        <v>12</v>
      </c>
      <c r="K20" s="10" t="s">
        <v>13</v>
      </c>
    </row>
    <row r="21" spans="1:11" x14ac:dyDescent="0.3">
      <c r="A21" t="s">
        <v>24</v>
      </c>
      <c r="B21" s="14">
        <v>0.51</v>
      </c>
      <c r="C21" s="14">
        <v>0.51</v>
      </c>
      <c r="D21" s="14">
        <v>0.46500000000000002</v>
      </c>
      <c r="E21" s="14">
        <v>0.5</v>
      </c>
      <c r="F21" s="14">
        <v>0.48</v>
      </c>
      <c r="G21" s="15">
        <v>0.47</v>
      </c>
      <c r="H21" s="15">
        <v>0.45500000000000002</v>
      </c>
      <c r="I21" s="15">
        <v>0.44</v>
      </c>
      <c r="J21" s="15">
        <v>0.43</v>
      </c>
      <c r="K21" s="15">
        <v>0.42</v>
      </c>
    </row>
    <row r="22" spans="1:11" x14ac:dyDescent="0.3">
      <c r="A22" t="s">
        <v>25</v>
      </c>
      <c r="B22" s="14">
        <v>0.1</v>
      </c>
      <c r="C22" s="14">
        <v>0.09</v>
      </c>
      <c r="D22" s="14">
        <v>9.5000000000000001E-2</v>
      </c>
      <c r="E22" s="14">
        <v>0.11</v>
      </c>
      <c r="F22" s="14">
        <v>0.105</v>
      </c>
      <c r="G22" s="15">
        <v>0.125</v>
      </c>
      <c r="H22" s="15">
        <v>0.115</v>
      </c>
      <c r="I22" s="15">
        <v>0.105</v>
      </c>
      <c r="J22" s="15">
        <v>9.5000000000000001E-2</v>
      </c>
      <c r="K22" s="15">
        <v>0.09</v>
      </c>
    </row>
    <row r="23" spans="1:11" x14ac:dyDescent="0.3">
      <c r="A23" t="s">
        <v>26</v>
      </c>
      <c r="B23" s="14">
        <v>0.18</v>
      </c>
      <c r="C23" s="14">
        <v>0.17</v>
      </c>
      <c r="D23" s="14">
        <v>0.17</v>
      </c>
      <c r="E23" s="14">
        <v>0.19</v>
      </c>
      <c r="F23" s="14">
        <v>0.185</v>
      </c>
      <c r="G23" s="15">
        <v>0.185</v>
      </c>
      <c r="H23" s="15">
        <v>0.185</v>
      </c>
      <c r="I23" s="15">
        <v>0.17499999999999999</v>
      </c>
      <c r="J23" s="15">
        <v>0.17</v>
      </c>
      <c r="K23" s="15">
        <v>0.16500000000000001</v>
      </c>
    </row>
    <row r="24" spans="1:11" x14ac:dyDescent="0.3">
      <c r="A24" t="s">
        <v>27</v>
      </c>
      <c r="B24" s="17">
        <v>0.21</v>
      </c>
      <c r="C24" s="17">
        <v>0.23</v>
      </c>
      <c r="D24" s="17">
        <v>0.23400000000000001</v>
      </c>
      <c r="E24" s="17">
        <v>0.20300000000000001</v>
      </c>
      <c r="F24" s="17">
        <v>0.22370000000000001</v>
      </c>
      <c r="G24" s="18">
        <v>0.22</v>
      </c>
      <c r="H24" s="18">
        <v>0.245</v>
      </c>
      <c r="I24" s="18">
        <v>0.28000000000000003</v>
      </c>
      <c r="J24" s="18">
        <v>0.30499999999999999</v>
      </c>
      <c r="K24" s="18">
        <v>0.32500000000000001</v>
      </c>
    </row>
    <row r="25" spans="1:11" x14ac:dyDescent="0.3">
      <c r="A25" t="s">
        <v>28</v>
      </c>
      <c r="B25" s="14">
        <v>0.06</v>
      </c>
      <c r="C25" s="14">
        <v>3.5000000000000003E-2</v>
      </c>
      <c r="D25" s="14">
        <v>3.5000000000000003E-2</v>
      </c>
      <c r="E25" s="14">
        <v>2.8000000000000001E-2</v>
      </c>
      <c r="F25" s="14">
        <v>2.7E-2</v>
      </c>
      <c r="G25" s="15">
        <v>0.03</v>
      </c>
      <c r="H25" s="15">
        <v>2.8000000000000001E-2</v>
      </c>
      <c r="I25" s="15">
        <v>2.5999999999999999E-2</v>
      </c>
      <c r="J25" s="15">
        <v>2.5000000000000001E-2</v>
      </c>
      <c r="K25" s="15">
        <v>2.3E-2</v>
      </c>
    </row>
    <row r="26" spans="1:11" x14ac:dyDescent="0.3">
      <c r="A26" t="s">
        <v>29</v>
      </c>
      <c r="B26" s="14">
        <v>0.02</v>
      </c>
      <c r="C26" s="14">
        <v>0.01</v>
      </c>
      <c r="D26" s="14">
        <v>0.01</v>
      </c>
      <c r="E26" s="14">
        <v>0.01</v>
      </c>
      <c r="F26" s="14">
        <v>2.5000000000000001E-2</v>
      </c>
      <c r="G26" s="15">
        <v>1.4999999999999999E-2</v>
      </c>
      <c r="H26" s="15">
        <v>1.2E-2</v>
      </c>
      <c r="I26" s="15">
        <v>0.01</v>
      </c>
      <c r="J26" s="15">
        <v>8.0000000000000002E-3</v>
      </c>
      <c r="K26" s="15">
        <v>7.0000000000000001E-3</v>
      </c>
    </row>
    <row r="27" spans="1:11" x14ac:dyDescent="0.3">
      <c r="A27" t="s">
        <v>30</v>
      </c>
      <c r="B27" s="14">
        <v>0.22</v>
      </c>
      <c r="C27" s="14">
        <v>0.22</v>
      </c>
      <c r="D27" s="14">
        <v>0.22500000000000001</v>
      </c>
      <c r="E27" s="14">
        <v>0.22500000000000001</v>
      </c>
      <c r="F27" s="14">
        <v>0.22</v>
      </c>
      <c r="G27" s="15">
        <v>0.22500000000000001</v>
      </c>
      <c r="H27" s="15">
        <v>0.22500000000000001</v>
      </c>
      <c r="I27" s="15">
        <v>0.22500000000000001</v>
      </c>
      <c r="J27" s="15">
        <v>0.22500000000000001</v>
      </c>
      <c r="K27" s="15">
        <v>0.22500000000000001</v>
      </c>
    </row>
    <row r="28" spans="1:11" x14ac:dyDescent="0.3">
      <c r="A28" t="s">
        <v>31</v>
      </c>
      <c r="B28" s="17">
        <v>0.1</v>
      </c>
      <c r="C28" s="17">
        <v>0.14000000000000001</v>
      </c>
      <c r="D28" s="17">
        <v>0.13500000000000001</v>
      </c>
      <c r="E28" s="17">
        <v>0.123</v>
      </c>
      <c r="F28" s="17">
        <v>0.114</v>
      </c>
      <c r="G28" s="18">
        <v>0.125</v>
      </c>
      <c r="H28" s="18">
        <v>0.155</v>
      </c>
      <c r="I28" s="18">
        <v>0.185</v>
      </c>
      <c r="J28" s="18">
        <v>0.21</v>
      </c>
      <c r="K28" s="18">
        <v>0.23499999999999999</v>
      </c>
    </row>
    <row r="31" spans="1:11" x14ac:dyDescent="0.3">
      <c r="A31" s="5" t="s">
        <v>32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x14ac:dyDescent="0.3">
      <c r="A32" s="8" t="s">
        <v>3</v>
      </c>
      <c r="B32" s="9" t="s">
        <v>4</v>
      </c>
      <c r="C32" s="9" t="s">
        <v>5</v>
      </c>
      <c r="D32" s="9" t="s">
        <v>6</v>
      </c>
      <c r="E32" s="9" t="s">
        <v>7</v>
      </c>
      <c r="F32" s="9" t="s">
        <v>8</v>
      </c>
      <c r="G32" s="10" t="s">
        <v>9</v>
      </c>
      <c r="H32" s="10" t="s">
        <v>10</v>
      </c>
      <c r="I32" s="10" t="s">
        <v>11</v>
      </c>
      <c r="J32" s="10" t="s">
        <v>12</v>
      </c>
      <c r="K32" s="10" t="s">
        <v>13</v>
      </c>
    </row>
    <row r="33" spans="1:11" x14ac:dyDescent="0.3">
      <c r="A33" t="s">
        <v>33</v>
      </c>
      <c r="B33" s="19">
        <v>150</v>
      </c>
      <c r="C33" s="19">
        <v>132</v>
      </c>
      <c r="D33" s="19">
        <v>135</v>
      </c>
      <c r="E33" s="19">
        <v>125</v>
      </c>
      <c r="F33" s="19">
        <v>122</v>
      </c>
      <c r="G33" s="20">
        <v>118</v>
      </c>
      <c r="H33" s="20">
        <v>112</v>
      </c>
      <c r="I33" s="20">
        <v>105</v>
      </c>
      <c r="J33" s="20">
        <v>100</v>
      </c>
      <c r="K33" s="20">
        <v>95</v>
      </c>
    </row>
    <row r="34" spans="1:11" x14ac:dyDescent="0.3">
      <c r="A34" t="s">
        <v>34</v>
      </c>
      <c r="B34" s="19">
        <v>90</v>
      </c>
      <c r="C34" s="19">
        <v>85</v>
      </c>
      <c r="D34" s="19">
        <v>95</v>
      </c>
      <c r="E34" s="19">
        <v>100</v>
      </c>
      <c r="F34" s="19">
        <v>105</v>
      </c>
      <c r="G34" s="20">
        <v>100</v>
      </c>
      <c r="H34" s="20">
        <v>92</v>
      </c>
      <c r="I34" s="20">
        <v>85</v>
      </c>
      <c r="J34" s="20">
        <v>80</v>
      </c>
      <c r="K34" s="20">
        <v>75</v>
      </c>
    </row>
    <row r="35" spans="1:11" x14ac:dyDescent="0.3">
      <c r="A35" t="s">
        <v>35</v>
      </c>
      <c r="B35" s="19">
        <v>80</v>
      </c>
      <c r="C35" s="19">
        <v>70</v>
      </c>
      <c r="D35" s="19">
        <v>75</v>
      </c>
      <c r="E35" s="19">
        <v>72</v>
      </c>
      <c r="F35" s="19">
        <v>70</v>
      </c>
      <c r="G35" s="20">
        <v>70</v>
      </c>
      <c r="H35" s="20">
        <v>68</v>
      </c>
      <c r="I35" s="20">
        <v>65</v>
      </c>
      <c r="J35" s="20">
        <v>62</v>
      </c>
      <c r="K35" s="20">
        <v>60</v>
      </c>
    </row>
    <row r="36" spans="1:11" x14ac:dyDescent="0.3">
      <c r="A36" t="s">
        <v>36</v>
      </c>
      <c r="B36" s="12">
        <v>8</v>
      </c>
      <c r="C36" s="12">
        <v>12</v>
      </c>
      <c r="D36" s="12">
        <v>19</v>
      </c>
      <c r="E36" s="12">
        <v>14</v>
      </c>
      <c r="F36" s="12">
        <v>25</v>
      </c>
      <c r="G36" s="13">
        <v>35</v>
      </c>
      <c r="H36" s="13">
        <v>42</v>
      </c>
      <c r="I36" s="13">
        <v>48</v>
      </c>
      <c r="J36" s="13">
        <v>52</v>
      </c>
      <c r="K36" s="13">
        <v>55</v>
      </c>
    </row>
    <row r="37" spans="1:11" x14ac:dyDescent="0.3">
      <c r="A37" t="s">
        <v>37</v>
      </c>
      <c r="B37" s="14">
        <v>8.7999999999999995E-2</v>
      </c>
      <c r="C37" s="14">
        <v>6.5000000000000002E-2</v>
      </c>
      <c r="D37" s="14">
        <v>8.4000000000000005E-2</v>
      </c>
      <c r="E37" s="14">
        <v>4.7E-2</v>
      </c>
      <c r="F37" s="14">
        <v>6.8000000000000005E-2</v>
      </c>
      <c r="G37" s="15">
        <v>8.7999999999999995E-2</v>
      </c>
      <c r="H37" s="15">
        <v>7.6999999999999999E-2</v>
      </c>
      <c r="I37" s="15">
        <v>6.7000000000000004E-2</v>
      </c>
      <c r="J37" s="15">
        <v>5.7000000000000002E-2</v>
      </c>
      <c r="K37" s="15">
        <v>4.8000000000000001E-2</v>
      </c>
    </row>
    <row r="38" spans="1:11" x14ac:dyDescent="0.3">
      <c r="A38" t="s">
        <v>38</v>
      </c>
      <c r="B38" s="21">
        <v>0.96</v>
      </c>
      <c r="C38" s="21">
        <v>0.96</v>
      </c>
      <c r="D38" s="21">
        <v>0.96</v>
      </c>
      <c r="E38" s="21">
        <v>0.96</v>
      </c>
      <c r="F38" s="21">
        <v>1.01</v>
      </c>
      <c r="G38" s="22">
        <v>1.0384</v>
      </c>
      <c r="H38" s="22">
        <v>1.0384</v>
      </c>
      <c r="I38" s="22">
        <v>1.0384</v>
      </c>
      <c r="J38" s="22">
        <v>1.0384</v>
      </c>
      <c r="K38" s="22">
        <v>1.0384</v>
      </c>
    </row>
    <row r="42" spans="1:11" x14ac:dyDescent="0.3">
      <c r="A42" s="5" t="s">
        <v>39</v>
      </c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x14ac:dyDescent="0.3">
      <c r="A43" s="7" t="s">
        <v>231</v>
      </c>
    </row>
    <row r="44" spans="1:11" x14ac:dyDescent="0.3">
      <c r="A44" t="s">
        <v>258</v>
      </c>
    </row>
    <row r="45" spans="1:11" x14ac:dyDescent="0.3">
      <c r="A45" t="s">
        <v>232</v>
      </c>
    </row>
    <row r="46" spans="1:11" x14ac:dyDescent="0.3">
      <c r="A46" t="s">
        <v>233</v>
      </c>
    </row>
    <row r="47" spans="1:11" x14ac:dyDescent="0.3">
      <c r="A47" t="s">
        <v>234</v>
      </c>
    </row>
    <row r="49" spans="1:1" x14ac:dyDescent="0.3">
      <c r="A49" s="7" t="s">
        <v>40</v>
      </c>
    </row>
    <row r="50" spans="1:1" x14ac:dyDescent="0.3">
      <c r="A50" t="s">
        <v>235</v>
      </c>
    </row>
    <row r="51" spans="1:1" x14ac:dyDescent="0.3">
      <c r="A51" t="s">
        <v>236</v>
      </c>
    </row>
    <row r="52" spans="1:1" x14ac:dyDescent="0.3">
      <c r="A52" t="s">
        <v>237</v>
      </c>
    </row>
    <row r="53" spans="1:1" x14ac:dyDescent="0.3">
      <c r="A53" t="s">
        <v>238</v>
      </c>
    </row>
    <row r="54" spans="1:1" x14ac:dyDescent="0.3">
      <c r="A54" s="7"/>
    </row>
    <row r="55" spans="1:1" x14ac:dyDescent="0.3">
      <c r="A55" t="s">
        <v>239</v>
      </c>
    </row>
    <row r="56" spans="1:1" x14ac:dyDescent="0.3">
      <c r="A56" t="s">
        <v>240</v>
      </c>
    </row>
    <row r="57" spans="1:1" x14ac:dyDescent="0.3">
      <c r="A57" t="s">
        <v>243</v>
      </c>
    </row>
    <row r="58" spans="1:1" x14ac:dyDescent="0.3">
      <c r="A58" t="s">
        <v>241</v>
      </c>
    </row>
    <row r="59" spans="1:1" x14ac:dyDescent="0.3">
      <c r="A59" s="23"/>
    </row>
    <row r="60" spans="1:1" x14ac:dyDescent="0.3">
      <c r="A60" t="s">
        <v>41</v>
      </c>
    </row>
    <row r="61" spans="1:1" x14ac:dyDescent="0.3">
      <c r="A61" t="s">
        <v>242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3AE0-CC4C-43A4-BDC8-C87F40EEF244}">
  <dimension ref="A1:L30"/>
  <sheetViews>
    <sheetView topLeftCell="A2" zoomScale="101" workbookViewId="0">
      <selection activeCell="M4" sqref="M4"/>
    </sheetView>
  </sheetViews>
  <sheetFormatPr defaultRowHeight="14.4" x14ac:dyDescent="0.3"/>
  <sheetData>
    <row r="1" spans="1:12" ht="18" x14ac:dyDescent="0.35">
      <c r="A1" s="2" t="s">
        <v>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43</v>
      </c>
    </row>
    <row r="4" spans="1:12" x14ac:dyDescent="0.3">
      <c r="A4" s="5" t="s">
        <v>44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7" t="s">
        <v>45</v>
      </c>
      <c r="C5" s="12">
        <v>91.2</v>
      </c>
      <c r="D5" s="12">
        <v>184</v>
      </c>
      <c r="E5" s="12">
        <v>227.1</v>
      </c>
      <c r="F5" s="12">
        <v>297.10000000000002</v>
      </c>
      <c r="G5" s="12">
        <v>368.8</v>
      </c>
      <c r="H5" s="12">
        <f>Assumptions!G6</f>
        <v>400</v>
      </c>
      <c r="I5" s="12">
        <f>Assumptions!H6</f>
        <v>545</v>
      </c>
      <c r="J5" s="12">
        <f>Assumptions!I6</f>
        <v>720</v>
      </c>
      <c r="K5" s="12">
        <f>Assumptions!J6</f>
        <v>920</v>
      </c>
      <c r="L5" s="12">
        <f>Assumptions!K6</f>
        <v>1140</v>
      </c>
    </row>
    <row r="6" spans="1:12" x14ac:dyDescent="0.3">
      <c r="A6" t="s">
        <v>46</v>
      </c>
      <c r="C6" s="26">
        <v>0.28000000000000003</v>
      </c>
      <c r="D6" s="26">
        <v>0.57999999999999996</v>
      </c>
      <c r="E6" s="26">
        <v>0.23400000000000001</v>
      </c>
      <c r="F6" s="26">
        <v>0.308</v>
      </c>
      <c r="G6" s="26">
        <v>0.24099999999999999</v>
      </c>
      <c r="H6" s="26">
        <f>(H5-G5)/G5</f>
        <v>8.459869848156179E-2</v>
      </c>
      <c r="I6" s="26">
        <f>(I5-H5)/H5</f>
        <v>0.36249999999999999</v>
      </c>
      <c r="J6" s="26">
        <f>(J5-I5)/I5</f>
        <v>0.32110091743119268</v>
      </c>
      <c r="K6" s="26">
        <f>(K5-J5)/J5</f>
        <v>0.27777777777777779</v>
      </c>
      <c r="L6" s="26">
        <f>(L5-K5)/K5</f>
        <v>0.2391304347826087</v>
      </c>
    </row>
    <row r="7" spans="1:12" x14ac:dyDescent="0.3">
      <c r="A7" t="s">
        <v>47</v>
      </c>
      <c r="C7" s="12">
        <v>2.2000000000000002</v>
      </c>
      <c r="D7" s="12">
        <v>5</v>
      </c>
      <c r="E7" s="12">
        <v>4.0999999999999996</v>
      </c>
      <c r="F7" s="12">
        <v>8.1</v>
      </c>
      <c r="G7" s="12">
        <v>17.2</v>
      </c>
      <c r="H7" s="12">
        <v>10</v>
      </c>
      <c r="I7" s="12">
        <v>12</v>
      </c>
      <c r="J7" s="12">
        <v>14</v>
      </c>
      <c r="K7" s="12">
        <v>16</v>
      </c>
      <c r="L7" s="12">
        <v>18</v>
      </c>
    </row>
    <row r="8" spans="1:12" x14ac:dyDescent="0.3">
      <c r="A8" s="27" t="s">
        <v>48</v>
      </c>
      <c r="B8" s="28"/>
      <c r="C8" s="30">
        <f t="shared" ref="C8:L8" si="0">C5+C7</f>
        <v>93.4</v>
      </c>
      <c r="D8" s="30">
        <f t="shared" si="0"/>
        <v>189</v>
      </c>
      <c r="E8" s="30">
        <f t="shared" si="0"/>
        <v>231.2</v>
      </c>
      <c r="F8" s="30">
        <f t="shared" si="0"/>
        <v>305.20000000000005</v>
      </c>
      <c r="G8" s="30">
        <f t="shared" si="0"/>
        <v>386</v>
      </c>
      <c r="H8" s="30">
        <f t="shared" si="0"/>
        <v>410</v>
      </c>
      <c r="I8" s="30">
        <f t="shared" si="0"/>
        <v>557</v>
      </c>
      <c r="J8" s="30">
        <f t="shared" si="0"/>
        <v>734</v>
      </c>
      <c r="K8" s="30">
        <f t="shared" si="0"/>
        <v>936</v>
      </c>
      <c r="L8" s="30">
        <f t="shared" si="0"/>
        <v>1158</v>
      </c>
    </row>
    <row r="10" spans="1:12" x14ac:dyDescent="0.3">
      <c r="A10" s="31" t="s">
        <v>49</v>
      </c>
    </row>
    <row r="11" spans="1:12" x14ac:dyDescent="0.3">
      <c r="A11" t="s">
        <v>50</v>
      </c>
      <c r="C11" s="12">
        <v>46.5</v>
      </c>
      <c r="D11" s="12">
        <v>93.8</v>
      </c>
      <c r="E11" s="12">
        <v>105.6</v>
      </c>
      <c r="F11" s="12">
        <v>148.6</v>
      </c>
      <c r="G11" s="12">
        <v>177</v>
      </c>
      <c r="H11" s="12">
        <f>H5*Assumptions!G21</f>
        <v>188</v>
      </c>
      <c r="I11" s="12">
        <f>I5*Assumptions!H21</f>
        <v>247.97499999999999</v>
      </c>
      <c r="J11" s="12">
        <f>J5*Assumptions!I21</f>
        <v>316.8</v>
      </c>
      <c r="K11" s="12">
        <f>K5*Assumptions!J21</f>
        <v>395.59999999999997</v>
      </c>
      <c r="L11" s="12">
        <f>L5*Assumptions!K21</f>
        <v>478.79999999999995</v>
      </c>
    </row>
    <row r="12" spans="1:12" x14ac:dyDescent="0.3">
      <c r="A12" t="s">
        <v>51</v>
      </c>
      <c r="C12" s="26">
        <f t="shared" ref="C12:L12" si="1">C11/C5</f>
        <v>0.50986842105263153</v>
      </c>
      <c r="D12" s="26">
        <f t="shared" si="1"/>
        <v>0.50978260869565217</v>
      </c>
      <c r="E12" s="26">
        <f t="shared" si="1"/>
        <v>0.46499339498018494</v>
      </c>
      <c r="F12" s="26">
        <f t="shared" si="1"/>
        <v>0.50016829350387071</v>
      </c>
      <c r="G12" s="26">
        <f t="shared" si="1"/>
        <v>0.47993492407809107</v>
      </c>
      <c r="H12" s="26">
        <f t="shared" si="1"/>
        <v>0.47</v>
      </c>
      <c r="I12" s="26">
        <f t="shared" si="1"/>
        <v>0.45500000000000002</v>
      </c>
      <c r="J12" s="26">
        <f t="shared" si="1"/>
        <v>0.44</v>
      </c>
      <c r="K12" s="26">
        <f t="shared" si="1"/>
        <v>0.42999999999999994</v>
      </c>
      <c r="L12" s="26">
        <f t="shared" si="1"/>
        <v>0.42</v>
      </c>
    </row>
    <row r="13" spans="1:12" x14ac:dyDescent="0.3">
      <c r="A13" t="s">
        <v>52</v>
      </c>
      <c r="C13" s="12">
        <v>9.1</v>
      </c>
      <c r="D13" s="12">
        <v>16.600000000000001</v>
      </c>
      <c r="E13" s="12">
        <v>21.6</v>
      </c>
      <c r="F13" s="12">
        <v>32.700000000000003</v>
      </c>
      <c r="G13" s="12">
        <v>38.700000000000003</v>
      </c>
      <c r="H13" s="12">
        <f>H5*Assumptions!G22</f>
        <v>50</v>
      </c>
      <c r="I13" s="12">
        <f>I5*Assumptions!H22</f>
        <v>62.675000000000004</v>
      </c>
      <c r="J13" s="12">
        <f>J5*Assumptions!I22</f>
        <v>75.599999999999994</v>
      </c>
      <c r="K13" s="12">
        <f>K5*Assumptions!J22</f>
        <v>87.4</v>
      </c>
      <c r="L13" s="12">
        <f>L5*Assumptions!K22</f>
        <v>102.6</v>
      </c>
    </row>
    <row r="14" spans="1:12" x14ac:dyDescent="0.3">
      <c r="A14" t="s">
        <v>53</v>
      </c>
      <c r="C14" s="12">
        <v>16.399999999999999</v>
      </c>
      <c r="D14" s="12">
        <v>31.3</v>
      </c>
      <c r="E14" s="12">
        <v>38.6</v>
      </c>
      <c r="F14" s="12">
        <v>56.4</v>
      </c>
      <c r="G14" s="12">
        <v>68.2</v>
      </c>
      <c r="H14" s="12">
        <f>H5*Assumptions!G23</f>
        <v>74</v>
      </c>
      <c r="I14" s="12">
        <f>I5*Assumptions!H23</f>
        <v>100.825</v>
      </c>
      <c r="J14" s="12">
        <f>J5*Assumptions!I23</f>
        <v>125.99999999999999</v>
      </c>
      <c r="K14" s="12">
        <f>K5*Assumptions!J23</f>
        <v>156.4</v>
      </c>
      <c r="L14" s="12">
        <f>L5*Assumptions!K23</f>
        <v>188.10000000000002</v>
      </c>
    </row>
    <row r="15" spans="1:12" x14ac:dyDescent="0.3">
      <c r="A15" s="32" t="s">
        <v>54</v>
      </c>
      <c r="B15" s="32"/>
      <c r="C15" s="33">
        <f t="shared" ref="C15:L15" si="2">C11+C13+C14</f>
        <v>72</v>
      </c>
      <c r="D15" s="33">
        <f t="shared" si="2"/>
        <v>141.70000000000002</v>
      </c>
      <c r="E15" s="33">
        <f t="shared" si="2"/>
        <v>165.79999999999998</v>
      </c>
      <c r="F15" s="33">
        <f t="shared" si="2"/>
        <v>237.70000000000002</v>
      </c>
      <c r="G15" s="33">
        <f t="shared" si="2"/>
        <v>283.89999999999998</v>
      </c>
      <c r="H15" s="33">
        <f t="shared" si="2"/>
        <v>312</v>
      </c>
      <c r="I15" s="33">
        <f t="shared" si="2"/>
        <v>411.47499999999997</v>
      </c>
      <c r="J15" s="33">
        <f t="shared" si="2"/>
        <v>518.4</v>
      </c>
      <c r="K15" s="33">
        <f t="shared" si="2"/>
        <v>639.4</v>
      </c>
      <c r="L15" s="33">
        <f t="shared" si="2"/>
        <v>769.5</v>
      </c>
    </row>
    <row r="17" spans="1:12" x14ac:dyDescent="0.3">
      <c r="A17" s="27" t="s">
        <v>55</v>
      </c>
      <c r="B17" s="28"/>
      <c r="C17" s="30">
        <f t="shared" ref="C17:L17" si="3">C5-C15</f>
        <v>19.200000000000003</v>
      </c>
      <c r="D17" s="30">
        <f t="shared" si="3"/>
        <v>42.299999999999983</v>
      </c>
      <c r="E17" s="30">
        <f t="shared" si="3"/>
        <v>61.300000000000011</v>
      </c>
      <c r="F17" s="30">
        <f t="shared" si="3"/>
        <v>59.400000000000006</v>
      </c>
      <c r="G17" s="30">
        <f t="shared" si="3"/>
        <v>84.900000000000034</v>
      </c>
      <c r="H17" s="30">
        <f t="shared" si="3"/>
        <v>88</v>
      </c>
      <c r="I17" s="30">
        <f t="shared" si="3"/>
        <v>133.52500000000003</v>
      </c>
      <c r="J17" s="30">
        <f t="shared" si="3"/>
        <v>201.60000000000002</v>
      </c>
      <c r="K17" s="30">
        <f t="shared" si="3"/>
        <v>280.60000000000002</v>
      </c>
      <c r="L17" s="30">
        <f t="shared" si="3"/>
        <v>370.5</v>
      </c>
    </row>
    <row r="18" spans="1:12" x14ac:dyDescent="0.3">
      <c r="A18" s="7" t="s">
        <v>56</v>
      </c>
      <c r="C18" s="34">
        <f t="shared" ref="C18:L18" si="4">C17/C5</f>
        <v>0.2105263157894737</v>
      </c>
      <c r="D18" s="34">
        <f t="shared" si="4"/>
        <v>0.22989130434782598</v>
      </c>
      <c r="E18" s="34">
        <f t="shared" si="4"/>
        <v>0.2699251431087627</v>
      </c>
      <c r="F18" s="34">
        <f t="shared" si="4"/>
        <v>0.19993268259845171</v>
      </c>
      <c r="G18" s="34">
        <f t="shared" si="4"/>
        <v>0.23020607375271157</v>
      </c>
      <c r="H18" s="34">
        <f t="shared" si="4"/>
        <v>0.22</v>
      </c>
      <c r="I18" s="34">
        <f t="shared" si="4"/>
        <v>0.24500000000000005</v>
      </c>
      <c r="J18" s="34">
        <f t="shared" si="4"/>
        <v>0.28000000000000003</v>
      </c>
      <c r="K18" s="34">
        <f t="shared" si="4"/>
        <v>0.30500000000000005</v>
      </c>
      <c r="L18" s="34">
        <f t="shared" si="4"/>
        <v>0.32500000000000001</v>
      </c>
    </row>
    <row r="20" spans="1:12" x14ac:dyDescent="0.3">
      <c r="A20" t="s">
        <v>57</v>
      </c>
      <c r="C20" s="12">
        <v>5.5</v>
      </c>
      <c r="D20" s="12">
        <v>6.4</v>
      </c>
      <c r="E20" s="12">
        <v>8</v>
      </c>
      <c r="F20" s="12">
        <v>8.3000000000000007</v>
      </c>
      <c r="G20" s="12">
        <v>10</v>
      </c>
      <c r="H20" s="12">
        <f>H5*Assumptions!G25</f>
        <v>12</v>
      </c>
      <c r="I20" s="12">
        <f>I5*Assumptions!H25</f>
        <v>15.26</v>
      </c>
      <c r="J20" s="12">
        <f>J5*Assumptions!I25</f>
        <v>18.72</v>
      </c>
      <c r="K20" s="12">
        <f>K5*Assumptions!J25</f>
        <v>23</v>
      </c>
      <c r="L20" s="12">
        <f>L5*Assumptions!K25</f>
        <v>26.22</v>
      </c>
    </row>
    <row r="21" spans="1:12" x14ac:dyDescent="0.3">
      <c r="A21" t="s">
        <v>58</v>
      </c>
      <c r="C21" s="12">
        <v>1.8</v>
      </c>
      <c r="D21" s="12">
        <v>1.8</v>
      </c>
      <c r="E21" s="12">
        <v>2.2999999999999998</v>
      </c>
      <c r="F21" s="12">
        <v>3</v>
      </c>
      <c r="G21" s="12">
        <v>9.1999999999999993</v>
      </c>
      <c r="H21" s="12">
        <f>H5*Assumptions!G26</f>
        <v>6</v>
      </c>
      <c r="I21" s="12">
        <f>I5*Assumptions!H26</f>
        <v>6.54</v>
      </c>
      <c r="J21" s="12">
        <f>J5*Assumptions!I26</f>
        <v>7.2</v>
      </c>
      <c r="K21" s="12">
        <f>K5*Assumptions!J26</f>
        <v>7.36</v>
      </c>
      <c r="L21" s="12">
        <f>L5*Assumptions!K26</f>
        <v>7.98</v>
      </c>
    </row>
    <row r="22" spans="1:12" x14ac:dyDescent="0.3">
      <c r="A22" s="27" t="s">
        <v>59</v>
      </c>
      <c r="B22" s="28"/>
      <c r="C22" s="30">
        <f t="shared" ref="C22:L22" si="5">C17-C20-C21+C7</f>
        <v>14.100000000000001</v>
      </c>
      <c r="D22" s="30">
        <f t="shared" si="5"/>
        <v>39.099999999999987</v>
      </c>
      <c r="E22" s="30">
        <f t="shared" si="5"/>
        <v>55.100000000000016</v>
      </c>
      <c r="F22" s="30">
        <f t="shared" si="5"/>
        <v>56.20000000000001</v>
      </c>
      <c r="G22" s="30">
        <f t="shared" si="5"/>
        <v>82.900000000000034</v>
      </c>
      <c r="H22" s="30">
        <f t="shared" si="5"/>
        <v>80</v>
      </c>
      <c r="I22" s="30">
        <f t="shared" si="5"/>
        <v>123.72500000000002</v>
      </c>
      <c r="J22" s="30">
        <f t="shared" si="5"/>
        <v>189.68000000000004</v>
      </c>
      <c r="K22" s="30">
        <f t="shared" si="5"/>
        <v>266.24</v>
      </c>
      <c r="L22" s="30">
        <f t="shared" si="5"/>
        <v>354.29999999999995</v>
      </c>
    </row>
    <row r="23" spans="1:12" x14ac:dyDescent="0.3">
      <c r="A23" t="s">
        <v>60</v>
      </c>
      <c r="C23" s="12">
        <v>3.8</v>
      </c>
      <c r="D23" s="12">
        <v>8.6</v>
      </c>
      <c r="E23" s="12">
        <v>8.8000000000000007</v>
      </c>
      <c r="F23" s="12">
        <v>10.5</v>
      </c>
      <c r="G23" s="12">
        <v>10.3</v>
      </c>
      <c r="H23" s="12">
        <f>H22*Assumptions!G27</f>
        <v>18</v>
      </c>
      <c r="I23" s="12">
        <f>I22*Assumptions!H27</f>
        <v>27.838125000000005</v>
      </c>
      <c r="J23" s="12">
        <f>J22*Assumptions!I27</f>
        <v>42.678000000000011</v>
      </c>
      <c r="K23" s="12">
        <f>K22*Assumptions!J27</f>
        <v>59.904000000000003</v>
      </c>
      <c r="L23" s="12">
        <f>L22*Assumptions!K27</f>
        <v>79.717499999999987</v>
      </c>
    </row>
    <row r="24" spans="1:12" x14ac:dyDescent="0.3">
      <c r="A24" t="s">
        <v>61</v>
      </c>
      <c r="C24" s="26">
        <f t="shared" ref="C24:L24" si="6">C23/C22</f>
        <v>0.26950354609929073</v>
      </c>
      <c r="D24" s="26">
        <f t="shared" si="6"/>
        <v>0.2199488491048594</v>
      </c>
      <c r="E24" s="26">
        <f t="shared" si="6"/>
        <v>0.15970961887477311</v>
      </c>
      <c r="F24" s="26">
        <f t="shared" si="6"/>
        <v>0.18683274021352309</v>
      </c>
      <c r="G24" s="26">
        <f t="shared" si="6"/>
        <v>0.12424607961399271</v>
      </c>
      <c r="H24" s="26">
        <f t="shared" si="6"/>
        <v>0.22500000000000001</v>
      </c>
      <c r="I24" s="26">
        <f t="shared" si="6"/>
        <v>0.22500000000000001</v>
      </c>
      <c r="J24" s="26">
        <f t="shared" si="6"/>
        <v>0.22500000000000001</v>
      </c>
      <c r="K24" s="26">
        <f t="shared" si="6"/>
        <v>0.22500000000000001</v>
      </c>
      <c r="L24" s="26">
        <f t="shared" si="6"/>
        <v>0.22500000000000001</v>
      </c>
    </row>
    <row r="26" spans="1:12" x14ac:dyDescent="0.3">
      <c r="A26" s="35" t="s">
        <v>62</v>
      </c>
      <c r="B26" s="36"/>
      <c r="C26" s="37">
        <f t="shared" ref="C26:L26" si="7">C22-C23</f>
        <v>10.3</v>
      </c>
      <c r="D26" s="37">
        <f t="shared" si="7"/>
        <v>30.499999999999986</v>
      </c>
      <c r="E26" s="37">
        <f t="shared" si="7"/>
        <v>46.300000000000011</v>
      </c>
      <c r="F26" s="37">
        <f t="shared" si="7"/>
        <v>45.70000000000001</v>
      </c>
      <c r="G26" s="37">
        <f t="shared" si="7"/>
        <v>72.600000000000037</v>
      </c>
      <c r="H26" s="37">
        <f t="shared" si="7"/>
        <v>62</v>
      </c>
      <c r="I26" s="37">
        <f t="shared" si="7"/>
        <v>95.886875000000018</v>
      </c>
      <c r="J26" s="37">
        <f t="shared" si="7"/>
        <v>147.00200000000001</v>
      </c>
      <c r="K26" s="37">
        <f t="shared" si="7"/>
        <v>206.33600000000001</v>
      </c>
      <c r="L26" s="37">
        <f t="shared" si="7"/>
        <v>274.58249999999998</v>
      </c>
    </row>
    <row r="27" spans="1:12" x14ac:dyDescent="0.3">
      <c r="A27" s="7" t="s">
        <v>63</v>
      </c>
      <c r="C27" s="34">
        <f t="shared" ref="C27:L27" si="8">C26/C5</f>
        <v>0.11293859649122807</v>
      </c>
      <c r="D27" s="34">
        <f t="shared" si="8"/>
        <v>0.16576086956521732</v>
      </c>
      <c r="E27" s="34">
        <f t="shared" si="8"/>
        <v>0.20387494495816827</v>
      </c>
      <c r="F27" s="34">
        <f t="shared" si="8"/>
        <v>0.15382026253786607</v>
      </c>
      <c r="G27" s="34">
        <f t="shared" si="8"/>
        <v>0.19685466377440355</v>
      </c>
      <c r="H27" s="34">
        <f t="shared" si="8"/>
        <v>0.155</v>
      </c>
      <c r="I27" s="34">
        <f t="shared" si="8"/>
        <v>0.17593922018348626</v>
      </c>
      <c r="J27" s="34">
        <f t="shared" si="8"/>
        <v>0.20416944444444446</v>
      </c>
      <c r="K27" s="34">
        <f t="shared" si="8"/>
        <v>0.22427826086956523</v>
      </c>
      <c r="L27" s="34">
        <f t="shared" si="8"/>
        <v>0.24086184210526315</v>
      </c>
    </row>
    <row r="29" spans="1:12" x14ac:dyDescent="0.3">
      <c r="A29" s="7" t="s">
        <v>64</v>
      </c>
      <c r="C29" s="42">
        <f t="shared" ref="C29:L29" si="9">C26/C30</f>
        <v>10.729166666666668</v>
      </c>
      <c r="D29" s="42">
        <f t="shared" si="9"/>
        <v>31.770833333333318</v>
      </c>
      <c r="E29" s="42">
        <f t="shared" si="9"/>
        <v>48.229166666666679</v>
      </c>
      <c r="F29" s="42">
        <f t="shared" si="9"/>
        <v>47.604166666666679</v>
      </c>
      <c r="G29" s="42">
        <f t="shared" si="9"/>
        <v>71.88118811881192</v>
      </c>
      <c r="H29" s="42">
        <f t="shared" si="9"/>
        <v>59.707241910631744</v>
      </c>
      <c r="I29" s="42">
        <f t="shared" si="9"/>
        <v>92.340981317411419</v>
      </c>
      <c r="J29" s="42">
        <f t="shared" si="9"/>
        <v>141.56587057010788</v>
      </c>
      <c r="K29" s="42">
        <f t="shared" si="9"/>
        <v>198.70570107858245</v>
      </c>
      <c r="L29" s="42">
        <f t="shared" si="9"/>
        <v>264.42844761171028</v>
      </c>
    </row>
    <row r="30" spans="1:12" x14ac:dyDescent="0.3">
      <c r="A30" t="s">
        <v>65</v>
      </c>
      <c r="C30" s="44">
        <v>0.96</v>
      </c>
      <c r="D30" s="44">
        <v>0.96</v>
      </c>
      <c r="E30" s="44">
        <v>0.96</v>
      </c>
      <c r="F30" s="44">
        <v>0.96</v>
      </c>
      <c r="G30" s="44">
        <v>1.01</v>
      </c>
      <c r="H30" s="44">
        <v>1.0384</v>
      </c>
      <c r="I30" s="44">
        <v>1.0384</v>
      </c>
      <c r="J30" s="44">
        <v>1.0384</v>
      </c>
      <c r="K30" s="44">
        <v>1.0384</v>
      </c>
      <c r="L30" s="44">
        <v>1.0384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0CA6-04BB-4498-A560-D206C8BF115A}">
  <dimension ref="A1:L36"/>
  <sheetViews>
    <sheetView workbookViewId="0">
      <selection activeCell="G39" sqref="G39"/>
    </sheetView>
  </sheetViews>
  <sheetFormatPr defaultRowHeight="14.4" x14ac:dyDescent="0.3"/>
  <sheetData>
    <row r="1" spans="1:12" ht="18" x14ac:dyDescent="0.35">
      <c r="A1" s="2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67</v>
      </c>
    </row>
    <row r="4" spans="1:12" x14ac:dyDescent="0.3">
      <c r="A4" s="5" t="s">
        <v>44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38" t="s">
        <v>68</v>
      </c>
    </row>
    <row r="6" spans="1:12" x14ac:dyDescent="0.3">
      <c r="A6" t="s">
        <v>69</v>
      </c>
      <c r="C6" s="12">
        <v>9.6</v>
      </c>
      <c r="D6" s="12">
        <v>9.6</v>
      </c>
      <c r="E6" s="12">
        <v>9.6</v>
      </c>
      <c r="F6" s="12">
        <v>9.6</v>
      </c>
      <c r="G6" s="12">
        <v>10.1</v>
      </c>
      <c r="H6" s="12">
        <v>10.38</v>
      </c>
      <c r="I6" s="12">
        <v>10.38</v>
      </c>
      <c r="J6" s="12">
        <v>10.38</v>
      </c>
      <c r="K6" s="12">
        <v>10.38</v>
      </c>
      <c r="L6" s="12">
        <v>10.38</v>
      </c>
    </row>
    <row r="7" spans="1:12" x14ac:dyDescent="0.3">
      <c r="A7" t="s">
        <v>70</v>
      </c>
      <c r="C7" s="12">
        <v>38.4</v>
      </c>
      <c r="D7" s="12">
        <v>68.900000000000006</v>
      </c>
      <c r="E7" s="12">
        <v>115.2</v>
      </c>
      <c r="F7" s="12">
        <v>157.4</v>
      </c>
      <c r="G7" s="12">
        <v>187.2</v>
      </c>
      <c r="H7" s="12">
        <f>G7+('Income Statement'!H26*0.85)+48.3</f>
        <v>288.2</v>
      </c>
      <c r="I7" s="12">
        <f>H7+('Income Statement'!I26*0.85)</f>
        <v>369.70384375000003</v>
      </c>
      <c r="J7" s="12">
        <f>I7+('Income Statement'!J26*0.85)</f>
        <v>494.65554375000005</v>
      </c>
      <c r="K7" s="12">
        <f>J7+('Income Statement'!K26*0.85)</f>
        <v>670.04114375000006</v>
      </c>
      <c r="L7" s="12">
        <f>K7+('Income Statement'!L26*0.85)</f>
        <v>903.43626875000007</v>
      </c>
    </row>
    <row r="8" spans="1:12" x14ac:dyDescent="0.3">
      <c r="A8" s="27" t="s">
        <v>71</v>
      </c>
      <c r="B8" s="28"/>
      <c r="C8" s="30">
        <f t="shared" ref="C8:L8" si="0">C6+C7</f>
        <v>48</v>
      </c>
      <c r="D8" s="30">
        <f t="shared" si="0"/>
        <v>78.5</v>
      </c>
      <c r="E8" s="30">
        <f t="shared" si="0"/>
        <v>124.8</v>
      </c>
      <c r="F8" s="30">
        <f t="shared" si="0"/>
        <v>167</v>
      </c>
      <c r="G8" s="30">
        <f t="shared" si="0"/>
        <v>197.29999999999998</v>
      </c>
      <c r="H8" s="30">
        <f t="shared" si="0"/>
        <v>298.58</v>
      </c>
      <c r="I8" s="30">
        <f t="shared" si="0"/>
        <v>380.08384375000003</v>
      </c>
      <c r="J8" s="30">
        <f t="shared" si="0"/>
        <v>505.03554375000004</v>
      </c>
      <c r="K8" s="30">
        <f t="shared" si="0"/>
        <v>680.42114375000006</v>
      </c>
      <c r="L8" s="30">
        <f t="shared" si="0"/>
        <v>913.81626875000006</v>
      </c>
    </row>
    <row r="10" spans="1:12" x14ac:dyDescent="0.3">
      <c r="A10" t="s">
        <v>72</v>
      </c>
    </row>
    <row r="11" spans="1:12" x14ac:dyDescent="0.3">
      <c r="A11" t="s">
        <v>73</v>
      </c>
      <c r="C11" s="12">
        <v>5</v>
      </c>
      <c r="D11" s="12">
        <v>3.5</v>
      </c>
      <c r="E11" s="12">
        <v>7</v>
      </c>
      <c r="F11" s="12">
        <v>6</v>
      </c>
      <c r="G11" s="12">
        <v>5</v>
      </c>
      <c r="H11" s="12">
        <v>4</v>
      </c>
      <c r="I11" s="12">
        <v>3</v>
      </c>
      <c r="J11" s="12">
        <v>2</v>
      </c>
      <c r="K11" s="12">
        <v>1</v>
      </c>
      <c r="L11" s="12">
        <v>0</v>
      </c>
    </row>
    <row r="12" spans="1:12" x14ac:dyDescent="0.3">
      <c r="A12" t="s">
        <v>74</v>
      </c>
      <c r="C12" s="12">
        <v>2</v>
      </c>
      <c r="D12" s="12">
        <v>3.5</v>
      </c>
      <c r="E12" s="12">
        <v>3.5</v>
      </c>
      <c r="F12" s="12">
        <v>5</v>
      </c>
      <c r="G12" s="12">
        <v>120</v>
      </c>
      <c r="H12" s="12">
        <v>115</v>
      </c>
      <c r="I12" s="12">
        <v>110</v>
      </c>
      <c r="J12" s="12">
        <v>105</v>
      </c>
      <c r="K12" s="12">
        <v>100</v>
      </c>
      <c r="L12" s="12">
        <v>95</v>
      </c>
    </row>
    <row r="14" spans="1:12" x14ac:dyDescent="0.3">
      <c r="A14" t="s">
        <v>75</v>
      </c>
    </row>
    <row r="15" spans="1:12" x14ac:dyDescent="0.3">
      <c r="A15" t="s">
        <v>76</v>
      </c>
      <c r="C15" s="12">
        <v>10.199999999999999</v>
      </c>
      <c r="D15" s="12">
        <v>18</v>
      </c>
      <c r="E15" s="12">
        <v>20.399999999999999</v>
      </c>
      <c r="F15" s="12">
        <v>29.3</v>
      </c>
      <c r="G15" s="12">
        <v>35</v>
      </c>
      <c r="H15" s="12">
        <f>'Income Statement'!H11*Assumptions!G35/365</f>
        <v>36.054794520547944</v>
      </c>
      <c r="I15" s="12">
        <f>'Income Statement'!I11*Assumptions!H35/365</f>
        <v>46.19808219178082</v>
      </c>
      <c r="J15" s="12">
        <f>'Income Statement'!J11*Assumptions!I35/365</f>
        <v>56.416438356164385</v>
      </c>
      <c r="K15" s="12">
        <f>'Income Statement'!K11*Assumptions!J35/365</f>
        <v>67.197808219178071</v>
      </c>
      <c r="L15" s="12">
        <f>'Income Statement'!L11*Assumptions!K35/365</f>
        <v>78.706849315068482</v>
      </c>
    </row>
    <row r="16" spans="1:12" x14ac:dyDescent="0.3">
      <c r="A16" t="s">
        <v>77</v>
      </c>
      <c r="C16" s="12">
        <v>8</v>
      </c>
      <c r="D16" s="12">
        <v>5</v>
      </c>
      <c r="E16" s="12">
        <v>10</v>
      </c>
      <c r="F16" s="12">
        <v>15</v>
      </c>
      <c r="G16" s="12">
        <v>12</v>
      </c>
      <c r="H16" s="12">
        <v>10</v>
      </c>
      <c r="I16" s="12">
        <v>8</v>
      </c>
      <c r="J16" s="12">
        <v>6</v>
      </c>
      <c r="K16" s="12">
        <v>4</v>
      </c>
      <c r="L16" s="12">
        <v>2</v>
      </c>
    </row>
    <row r="17" spans="1:12" x14ac:dyDescent="0.3">
      <c r="A17" t="s">
        <v>78</v>
      </c>
      <c r="C17" s="12">
        <v>23.8</v>
      </c>
      <c r="D17" s="12">
        <v>43.6</v>
      </c>
      <c r="E17" s="12">
        <v>36</v>
      </c>
      <c r="F17" s="12">
        <v>50</v>
      </c>
      <c r="G17" s="12">
        <v>55</v>
      </c>
      <c r="H17" s="12">
        <v>50</v>
      </c>
      <c r="I17" s="12">
        <v>55</v>
      </c>
      <c r="J17" s="12">
        <v>60</v>
      </c>
      <c r="K17" s="12">
        <v>65</v>
      </c>
      <c r="L17" s="12">
        <v>70</v>
      </c>
    </row>
    <row r="18" spans="1:12" x14ac:dyDescent="0.3">
      <c r="A18" s="7" t="s">
        <v>79</v>
      </c>
      <c r="C18" s="29">
        <f t="shared" ref="C18:L18" si="1">C15+C16+C17</f>
        <v>42</v>
      </c>
      <c r="D18" s="29">
        <f t="shared" si="1"/>
        <v>66.599999999999994</v>
      </c>
      <c r="E18" s="29">
        <f t="shared" si="1"/>
        <v>66.400000000000006</v>
      </c>
      <c r="F18" s="29">
        <f t="shared" si="1"/>
        <v>94.3</v>
      </c>
      <c r="G18" s="29">
        <f t="shared" si="1"/>
        <v>102</v>
      </c>
      <c r="H18" s="29">
        <f t="shared" si="1"/>
        <v>96.054794520547944</v>
      </c>
      <c r="I18" s="29">
        <f t="shared" si="1"/>
        <v>109.19808219178083</v>
      </c>
      <c r="J18" s="29">
        <f t="shared" si="1"/>
        <v>122.41643835616438</v>
      </c>
      <c r="K18" s="29">
        <f t="shared" si="1"/>
        <v>136.19780821917806</v>
      </c>
      <c r="L18" s="29">
        <f t="shared" si="1"/>
        <v>150.7068493150685</v>
      </c>
    </row>
    <row r="20" spans="1:12" x14ac:dyDescent="0.3">
      <c r="A20" s="35" t="s">
        <v>80</v>
      </c>
      <c r="B20" s="36"/>
      <c r="C20" s="37">
        <f t="shared" ref="C20:L20" si="2">C8+C11+C12+C18</f>
        <v>97</v>
      </c>
      <c r="D20" s="37">
        <f t="shared" si="2"/>
        <v>152.1</v>
      </c>
      <c r="E20" s="37">
        <f t="shared" si="2"/>
        <v>201.70000000000002</v>
      </c>
      <c r="F20" s="37">
        <f t="shared" si="2"/>
        <v>272.3</v>
      </c>
      <c r="G20" s="37">
        <f t="shared" si="2"/>
        <v>424.29999999999995</v>
      </c>
      <c r="H20" s="37">
        <f t="shared" si="2"/>
        <v>513.63479452054798</v>
      </c>
      <c r="I20" s="37">
        <f t="shared" si="2"/>
        <v>602.28192594178086</v>
      </c>
      <c r="J20" s="37">
        <f t="shared" si="2"/>
        <v>734.45198210616434</v>
      </c>
      <c r="K20" s="37">
        <f t="shared" si="2"/>
        <v>917.61895196917817</v>
      </c>
      <c r="L20" s="37">
        <f t="shared" si="2"/>
        <v>1159.5231180650685</v>
      </c>
    </row>
    <row r="22" spans="1:12" x14ac:dyDescent="0.3">
      <c r="A22" s="38" t="s">
        <v>81</v>
      </c>
    </row>
    <row r="23" spans="1:12" x14ac:dyDescent="0.3">
      <c r="A23" t="s">
        <v>82</v>
      </c>
    </row>
    <row r="24" spans="1:12" x14ac:dyDescent="0.3">
      <c r="A24" t="s">
        <v>83</v>
      </c>
      <c r="C24" s="12">
        <v>30</v>
      </c>
      <c r="D24" s="12">
        <v>36</v>
      </c>
      <c r="E24" s="12">
        <v>47</v>
      </c>
      <c r="F24" s="12">
        <v>52</v>
      </c>
      <c r="G24" s="12">
        <v>65</v>
      </c>
      <c r="H24" s="12">
        <f>G24+Assumptions!G36-'Income Statement'!H20</f>
        <v>88</v>
      </c>
      <c r="I24" s="12">
        <f>H24+Assumptions!H36-'Income Statement'!I20</f>
        <v>114.74</v>
      </c>
      <c r="J24" s="12">
        <f>I24+Assumptions!I36-'Income Statement'!J20</f>
        <v>144.02000000000001</v>
      </c>
      <c r="K24" s="12">
        <f>J24+Assumptions!J36-'Income Statement'!K20</f>
        <v>173.02</v>
      </c>
      <c r="L24" s="12">
        <f>K24+Assumptions!K36-'Income Statement'!L20</f>
        <v>201.8</v>
      </c>
    </row>
    <row r="25" spans="1:12" x14ac:dyDescent="0.3">
      <c r="A25" t="s">
        <v>84</v>
      </c>
      <c r="C25" s="12">
        <v>5</v>
      </c>
      <c r="D25" s="12">
        <v>8</v>
      </c>
      <c r="E25" s="12">
        <v>12</v>
      </c>
      <c r="F25" s="12">
        <v>15</v>
      </c>
      <c r="G25" s="12">
        <v>20</v>
      </c>
      <c r="H25" s="12">
        <v>70</v>
      </c>
      <c r="I25" s="12">
        <v>30</v>
      </c>
      <c r="J25" s="12">
        <v>35</v>
      </c>
      <c r="K25" s="12">
        <v>40</v>
      </c>
      <c r="L25" s="12">
        <v>45</v>
      </c>
    </row>
    <row r="26" spans="1:12" x14ac:dyDescent="0.3">
      <c r="A26" t="s">
        <v>85</v>
      </c>
      <c r="C26" s="12">
        <v>3</v>
      </c>
      <c r="D26" s="12">
        <v>4</v>
      </c>
      <c r="E26" s="12">
        <v>5</v>
      </c>
      <c r="F26" s="12">
        <v>6</v>
      </c>
      <c r="G26" s="12">
        <v>8</v>
      </c>
      <c r="H26" s="12">
        <v>10</v>
      </c>
      <c r="I26" s="12">
        <v>12</v>
      </c>
      <c r="J26" s="12">
        <v>14</v>
      </c>
      <c r="K26" s="12">
        <v>16</v>
      </c>
      <c r="L26" s="12">
        <v>18</v>
      </c>
    </row>
    <row r="28" spans="1:12" x14ac:dyDescent="0.3">
      <c r="A28" t="s">
        <v>86</v>
      </c>
    </row>
    <row r="29" spans="1:12" x14ac:dyDescent="0.3">
      <c r="A29" t="s">
        <v>87</v>
      </c>
      <c r="C29" s="12">
        <v>11.4</v>
      </c>
      <c r="D29" s="12">
        <v>22</v>
      </c>
      <c r="E29" s="12">
        <v>27.5</v>
      </c>
      <c r="F29" s="12">
        <v>40.700000000000003</v>
      </c>
      <c r="G29" s="12">
        <v>50.8</v>
      </c>
      <c r="H29" s="12">
        <f>'Income Statement'!H11*Assumptions!G34/365</f>
        <v>51.506849315068493</v>
      </c>
      <c r="I29" s="12">
        <f>'Income Statement'!I11*Assumptions!H34/365</f>
        <v>62.503287671232876</v>
      </c>
      <c r="J29" s="12">
        <f>'Income Statement'!J11*Assumptions!I34/365</f>
        <v>73.775342465753425</v>
      </c>
      <c r="K29" s="12">
        <f>'Income Statement'!K11*Assumptions!J34/365</f>
        <v>86.706849315068482</v>
      </c>
      <c r="L29" s="12">
        <f>'Income Statement'!L11*Assumptions!K34/365</f>
        <v>98.38356164383562</v>
      </c>
    </row>
    <row r="30" spans="1:12" x14ac:dyDescent="0.3">
      <c r="A30" t="s">
        <v>88</v>
      </c>
      <c r="C30" s="12">
        <v>37.5</v>
      </c>
      <c r="D30" s="12">
        <v>66.599999999999994</v>
      </c>
      <c r="E30" s="12">
        <v>84</v>
      </c>
      <c r="F30" s="12">
        <v>101.7</v>
      </c>
      <c r="G30" s="12">
        <v>123.2</v>
      </c>
      <c r="H30" s="12">
        <f>'Income Statement'!H5*Assumptions!G33/365</f>
        <v>129.31506849315068</v>
      </c>
      <c r="I30" s="12">
        <f>'Income Statement'!I5*Assumptions!H33/365</f>
        <v>167.23287671232876</v>
      </c>
      <c r="J30" s="12">
        <f>'Income Statement'!J5*Assumptions!I33/365</f>
        <v>207.12328767123287</v>
      </c>
      <c r="K30" s="12">
        <f>'Income Statement'!K5*Assumptions!J33/365</f>
        <v>252.05479452054794</v>
      </c>
      <c r="L30" s="12">
        <f>'Income Statement'!L5*Assumptions!K33/365</f>
        <v>296.71232876712327</v>
      </c>
    </row>
    <row r="31" spans="1:12" x14ac:dyDescent="0.3">
      <c r="A31" t="s">
        <v>89</v>
      </c>
      <c r="C31" s="12">
        <v>3</v>
      </c>
      <c r="D31" s="12">
        <v>3.5</v>
      </c>
      <c r="E31" s="12">
        <v>5.3</v>
      </c>
      <c r="F31" s="12">
        <v>15</v>
      </c>
      <c r="G31" s="12">
        <v>120</v>
      </c>
      <c r="H31" s="12">
        <f>H20-H24-H25-H26-H29-H30-H32</f>
        <v>139.8128767123288</v>
      </c>
      <c r="I31" s="12">
        <f>I20-I24-I25-I26-I29-I30-I32</f>
        <v>185.80576155821919</v>
      </c>
      <c r="J31" s="12">
        <f>J20-J24-J25-J26-J29-J30-J32</f>
        <v>225.53335196917806</v>
      </c>
      <c r="K31" s="12">
        <f>K20-K24-K25-K26-K29-K30-K32</f>
        <v>309.83730813356181</v>
      </c>
      <c r="L31" s="12">
        <f>L20-L24-L25-L26-L29-L30-L32</f>
        <v>454.62722765410967</v>
      </c>
    </row>
    <row r="32" spans="1:12" x14ac:dyDescent="0.3">
      <c r="A32" t="s">
        <v>90</v>
      </c>
      <c r="C32" s="12">
        <v>7.1</v>
      </c>
      <c r="D32" s="12">
        <v>12</v>
      </c>
      <c r="E32" s="12">
        <v>20.9</v>
      </c>
      <c r="F32" s="12">
        <v>41.9</v>
      </c>
      <c r="G32" s="12">
        <v>37.299999999999997</v>
      </c>
      <c r="H32" s="12">
        <v>25</v>
      </c>
      <c r="I32" s="12">
        <v>30</v>
      </c>
      <c r="J32" s="12">
        <v>35</v>
      </c>
      <c r="K32" s="12">
        <v>40</v>
      </c>
      <c r="L32" s="12">
        <v>45</v>
      </c>
    </row>
    <row r="34" spans="1:12" x14ac:dyDescent="0.3">
      <c r="A34" s="35" t="s">
        <v>91</v>
      </c>
      <c r="B34" s="36"/>
      <c r="C34" s="37">
        <f t="shared" ref="C34:L34" si="3">C24+C25+C26+C29+C30+C31+C32</f>
        <v>97</v>
      </c>
      <c r="D34" s="37">
        <f t="shared" si="3"/>
        <v>152.1</v>
      </c>
      <c r="E34" s="37">
        <f t="shared" si="3"/>
        <v>201.70000000000002</v>
      </c>
      <c r="F34" s="37">
        <f t="shared" si="3"/>
        <v>272.3</v>
      </c>
      <c r="G34" s="37">
        <f t="shared" si="3"/>
        <v>424.3</v>
      </c>
      <c r="H34" s="37">
        <f t="shared" si="3"/>
        <v>513.63479452054798</v>
      </c>
      <c r="I34" s="37">
        <f t="shared" si="3"/>
        <v>602.28192594178086</v>
      </c>
      <c r="J34" s="37">
        <f t="shared" si="3"/>
        <v>734.45198210616434</v>
      </c>
      <c r="K34" s="37">
        <f t="shared" si="3"/>
        <v>917.61895196917828</v>
      </c>
      <c r="L34" s="37">
        <f t="shared" si="3"/>
        <v>1159.5231180650685</v>
      </c>
    </row>
    <row r="36" spans="1:12" x14ac:dyDescent="0.3">
      <c r="A36" t="s">
        <v>259</v>
      </c>
      <c r="C36" s="12">
        <f>C20-C34</f>
        <v>0</v>
      </c>
      <c r="D36" s="12">
        <f t="shared" ref="D36:L36" si="4">D20-D34</f>
        <v>0</v>
      </c>
      <c r="E36" s="12">
        <f t="shared" si="4"/>
        <v>0</v>
      </c>
      <c r="F36" s="12">
        <f t="shared" si="4"/>
        <v>0</v>
      </c>
      <c r="G36" s="12">
        <f t="shared" si="4"/>
        <v>0</v>
      </c>
      <c r="H36" s="12">
        <f t="shared" si="4"/>
        <v>0</v>
      </c>
      <c r="I36" s="12">
        <f t="shared" si="4"/>
        <v>0</v>
      </c>
      <c r="J36" s="12">
        <f t="shared" si="4"/>
        <v>0</v>
      </c>
      <c r="K36" s="12">
        <f t="shared" si="4"/>
        <v>0</v>
      </c>
      <c r="L36" s="12">
        <f t="shared" si="4"/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D6F1-D8A5-4289-BA73-007526EC4741}">
  <dimension ref="A1:L26"/>
  <sheetViews>
    <sheetView workbookViewId="0">
      <selection activeCell="H9" sqref="H9"/>
    </sheetView>
  </sheetViews>
  <sheetFormatPr defaultRowHeight="14.4" x14ac:dyDescent="0.3"/>
  <cols>
    <col min="1" max="1" width="42.5546875" customWidth="1"/>
  </cols>
  <sheetData>
    <row r="1" spans="1:12" ht="18" x14ac:dyDescent="0.35">
      <c r="A1" s="2" t="s">
        <v>92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93</v>
      </c>
    </row>
    <row r="4" spans="1:12" x14ac:dyDescent="0.3">
      <c r="A4" s="5" t="s">
        <v>44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38" t="s">
        <v>94</v>
      </c>
    </row>
    <row r="6" spans="1:12" x14ac:dyDescent="0.3">
      <c r="A6" t="s">
        <v>95</v>
      </c>
      <c r="C6" s="12">
        <f>'Income Statement'!C26</f>
        <v>10.3</v>
      </c>
      <c r="D6" s="12">
        <f>'Income Statement'!D26</f>
        <v>30.499999999999986</v>
      </c>
      <c r="E6" s="12">
        <f>'Income Statement'!E26</f>
        <v>46.300000000000011</v>
      </c>
      <c r="F6" s="12">
        <f>'Income Statement'!F26</f>
        <v>45.70000000000001</v>
      </c>
      <c r="G6" s="12">
        <f>'Income Statement'!G26</f>
        <v>72.600000000000037</v>
      </c>
      <c r="H6" s="12">
        <f>'Income Statement'!H26</f>
        <v>62</v>
      </c>
      <c r="I6" s="12">
        <f>'Income Statement'!I26</f>
        <v>95.886875000000018</v>
      </c>
      <c r="J6" s="12">
        <f>'Income Statement'!J26</f>
        <v>147.00200000000001</v>
      </c>
      <c r="K6" s="12">
        <f>'Income Statement'!K26</f>
        <v>206.33600000000001</v>
      </c>
      <c r="L6" s="12">
        <f>'Income Statement'!L26</f>
        <v>274.58249999999998</v>
      </c>
    </row>
    <row r="7" spans="1:12" x14ac:dyDescent="0.3">
      <c r="A7" t="s">
        <v>96</v>
      </c>
      <c r="C7" s="12">
        <f>'Income Statement'!C20</f>
        <v>5.5</v>
      </c>
      <c r="D7" s="12">
        <f>'Income Statement'!D20</f>
        <v>6.4</v>
      </c>
      <c r="E7" s="12">
        <f>'Income Statement'!E20</f>
        <v>8</v>
      </c>
      <c r="F7" s="12">
        <f>'Income Statement'!F20</f>
        <v>8.3000000000000007</v>
      </c>
      <c r="G7" s="12">
        <f>'Income Statement'!G20</f>
        <v>10</v>
      </c>
      <c r="H7" s="12">
        <f>'Income Statement'!H20</f>
        <v>12</v>
      </c>
      <c r="I7" s="12">
        <f>'Income Statement'!I20</f>
        <v>15.26</v>
      </c>
      <c r="J7" s="12">
        <f>'Income Statement'!J20</f>
        <v>18.72</v>
      </c>
      <c r="K7" s="12">
        <f>'Income Statement'!K20</f>
        <v>23</v>
      </c>
      <c r="L7" s="12">
        <f>'Income Statement'!L20</f>
        <v>26.22</v>
      </c>
    </row>
    <row r="8" spans="1:12" x14ac:dyDescent="0.3">
      <c r="A8" t="s">
        <v>97</v>
      </c>
      <c r="C8" s="12">
        <v>-5</v>
      </c>
      <c r="D8" s="12">
        <v>-12.6</v>
      </c>
      <c r="E8" s="12">
        <v>-28.2</v>
      </c>
      <c r="F8" s="12">
        <v>-21.3</v>
      </c>
      <c r="G8" s="12">
        <v>-36.4</v>
      </c>
      <c r="H8" s="12">
        <f>-('Balance Sheet'!H29-'Balance Sheet'!G29)-('Balance Sheet'!H30-'Balance Sheet'!G30)-('Balance Sheet'!H32-'Balance Sheet'!G32)+('Balance Sheet'!H15-'Balance Sheet'!G15)+('Balance Sheet'!H17-'Balance Sheet'!G17)</f>
        <v>1.5328767123287719</v>
      </c>
      <c r="I8" s="12">
        <f>-('Balance Sheet'!I29-'Balance Sheet'!H29)-('Balance Sheet'!I30-'Balance Sheet'!H30)-('Balance Sheet'!I32-'Balance Sheet'!H32)+('Balance Sheet'!I15-'Balance Sheet'!H15)+('Balance Sheet'!I17-'Balance Sheet'!H17)</f>
        <v>-38.770958904109591</v>
      </c>
      <c r="J8" s="12">
        <f>-('Balance Sheet'!J29-'Balance Sheet'!I29)-('Balance Sheet'!J30-'Balance Sheet'!I30)-('Balance Sheet'!J32-'Balance Sheet'!I32)+('Balance Sheet'!J15-'Balance Sheet'!I15)+('Balance Sheet'!J17-'Balance Sheet'!I17)</f>
        <v>-40.944109589041098</v>
      </c>
      <c r="K8" s="12">
        <f>-('Balance Sheet'!K29-'Balance Sheet'!J29)-('Balance Sheet'!K30-'Balance Sheet'!J30)-('Balance Sheet'!K32-'Balance Sheet'!J32)+('Balance Sheet'!K15-'Balance Sheet'!J15)+('Balance Sheet'!K17-'Balance Sheet'!J17)</f>
        <v>-47.08164383561644</v>
      </c>
      <c r="L8" s="12">
        <f>-('Balance Sheet'!L29-'Balance Sheet'!K29)-('Balance Sheet'!L30-'Balance Sheet'!K30)-('Balance Sheet'!L32-'Balance Sheet'!K32)+('Balance Sheet'!L15-'Balance Sheet'!K15)+('Balance Sheet'!L17-'Balance Sheet'!K17)</f>
        <v>-44.825205479452052</v>
      </c>
    </row>
    <row r="9" spans="1:12" x14ac:dyDescent="0.3">
      <c r="A9" s="27" t="s">
        <v>98</v>
      </c>
      <c r="B9" s="28"/>
      <c r="C9" s="30">
        <f t="shared" ref="C9:L9" si="0">C6+C7+C8</f>
        <v>10.8</v>
      </c>
      <c r="D9" s="30">
        <f t="shared" si="0"/>
        <v>24.299999999999983</v>
      </c>
      <c r="E9" s="30">
        <f t="shared" si="0"/>
        <v>26.100000000000012</v>
      </c>
      <c r="F9" s="30">
        <f t="shared" si="0"/>
        <v>32.700000000000017</v>
      </c>
      <c r="G9" s="30">
        <f t="shared" si="0"/>
        <v>46.200000000000038</v>
      </c>
      <c r="H9" s="30">
        <f t="shared" si="0"/>
        <v>75.532876712328772</v>
      </c>
      <c r="I9" s="30">
        <f t="shared" si="0"/>
        <v>72.375916095890432</v>
      </c>
      <c r="J9" s="30">
        <f t="shared" si="0"/>
        <v>124.77789041095892</v>
      </c>
      <c r="K9" s="30">
        <f t="shared" si="0"/>
        <v>182.25435616438358</v>
      </c>
      <c r="L9" s="30">
        <f t="shared" si="0"/>
        <v>255.97729452054796</v>
      </c>
    </row>
    <row r="11" spans="1:12" x14ac:dyDescent="0.3">
      <c r="A11" s="38" t="s">
        <v>99</v>
      </c>
    </row>
    <row r="12" spans="1:12" x14ac:dyDescent="0.3">
      <c r="A12" t="s">
        <v>100</v>
      </c>
      <c r="C12" s="12">
        <v>-8</v>
      </c>
      <c r="D12" s="12">
        <v>-12</v>
      </c>
      <c r="E12" s="12">
        <v>-19</v>
      </c>
      <c r="F12" s="12">
        <v>-14</v>
      </c>
      <c r="G12" s="12">
        <v>-25</v>
      </c>
      <c r="H12" s="12">
        <f>-Assumptions!G36</f>
        <v>-35</v>
      </c>
      <c r="I12" s="12">
        <f>-Assumptions!H36</f>
        <v>-42</v>
      </c>
      <c r="J12" s="12">
        <f>-Assumptions!I36</f>
        <v>-48</v>
      </c>
      <c r="K12" s="12">
        <f>-Assumptions!J36</f>
        <v>-52</v>
      </c>
      <c r="L12" s="12">
        <f>-Assumptions!K36</f>
        <v>-55</v>
      </c>
    </row>
    <row r="13" spans="1:12" x14ac:dyDescent="0.3">
      <c r="A13" t="s">
        <v>101</v>
      </c>
      <c r="C13" s="12">
        <v>-2</v>
      </c>
      <c r="D13" s="12">
        <v>-5</v>
      </c>
      <c r="E13" s="12">
        <v>-5</v>
      </c>
      <c r="F13" s="12">
        <v>-5</v>
      </c>
      <c r="G13" s="12">
        <v>-7</v>
      </c>
      <c r="H13" s="12">
        <f>-('Balance Sheet'!H25-'Balance Sheet'!G25)-('Balance Sheet'!H26-'Balance Sheet'!G26)</f>
        <v>-52</v>
      </c>
      <c r="I13" s="12">
        <f>-('Balance Sheet'!I25-'Balance Sheet'!H25)-('Balance Sheet'!I26-'Balance Sheet'!H26)</f>
        <v>38</v>
      </c>
      <c r="J13" s="12">
        <f>-('Balance Sheet'!J25-'Balance Sheet'!I25)-('Balance Sheet'!J26-'Balance Sheet'!I26)</f>
        <v>-7</v>
      </c>
      <c r="K13" s="12">
        <f>-('Balance Sheet'!K25-'Balance Sheet'!J25)-('Balance Sheet'!K26-'Balance Sheet'!J26)</f>
        <v>-7</v>
      </c>
      <c r="L13" s="12">
        <f>-('Balance Sheet'!L25-'Balance Sheet'!K25)-('Balance Sheet'!L26-'Balance Sheet'!K26)</f>
        <v>-7</v>
      </c>
    </row>
    <row r="14" spans="1:12" x14ac:dyDescent="0.3">
      <c r="A14" s="27" t="s">
        <v>102</v>
      </c>
      <c r="B14" s="28"/>
      <c r="C14" s="30">
        <f t="shared" ref="C14:L14" si="1">C12+C13</f>
        <v>-10</v>
      </c>
      <c r="D14" s="30">
        <f t="shared" si="1"/>
        <v>-17</v>
      </c>
      <c r="E14" s="30">
        <f t="shared" si="1"/>
        <v>-24</v>
      </c>
      <c r="F14" s="30">
        <f t="shared" si="1"/>
        <v>-19</v>
      </c>
      <c r="G14" s="30">
        <f t="shared" si="1"/>
        <v>-32</v>
      </c>
      <c r="H14" s="30">
        <f t="shared" si="1"/>
        <v>-87</v>
      </c>
      <c r="I14" s="30">
        <f t="shared" si="1"/>
        <v>-4</v>
      </c>
      <c r="J14" s="30">
        <f t="shared" si="1"/>
        <v>-55</v>
      </c>
      <c r="K14" s="30">
        <f t="shared" si="1"/>
        <v>-59</v>
      </c>
      <c r="L14" s="30">
        <f t="shared" si="1"/>
        <v>-62</v>
      </c>
    </row>
    <row r="16" spans="1:12" x14ac:dyDescent="0.3">
      <c r="A16" s="38" t="s">
        <v>103</v>
      </c>
    </row>
    <row r="17" spans="1:12" x14ac:dyDescent="0.3">
      <c r="A17" t="s">
        <v>104</v>
      </c>
      <c r="C17" s="12">
        <v>-3</v>
      </c>
      <c r="D17" s="12">
        <v>-5</v>
      </c>
      <c r="E17" s="12">
        <v>2</v>
      </c>
      <c r="F17" s="12">
        <v>-1</v>
      </c>
      <c r="G17" s="12">
        <v>100</v>
      </c>
      <c r="H17" s="12">
        <f>('Balance Sheet'!H11-'Balance Sheet'!G11)+('Balance Sheet'!H12-'Balance Sheet'!G12)+('Balance Sheet'!H16-'Balance Sheet'!G16)</f>
        <v>-8</v>
      </c>
      <c r="I17" s="12">
        <f>('Balance Sheet'!I11-'Balance Sheet'!H11)+('Balance Sheet'!I12-'Balance Sheet'!H12)+('Balance Sheet'!I16-'Balance Sheet'!H16)</f>
        <v>-8</v>
      </c>
      <c r="J17" s="12">
        <f>('Balance Sheet'!J11-'Balance Sheet'!I11)+('Balance Sheet'!J12-'Balance Sheet'!I12)+('Balance Sheet'!J16-'Balance Sheet'!I16)</f>
        <v>-8</v>
      </c>
      <c r="K17" s="12">
        <f>('Balance Sheet'!K11-'Balance Sheet'!J11)+('Balance Sheet'!K12-'Balance Sheet'!J12)+('Balance Sheet'!K16-'Balance Sheet'!J16)</f>
        <v>-8</v>
      </c>
      <c r="L17" s="12">
        <f>('Balance Sheet'!L11-'Balance Sheet'!K11)+('Balance Sheet'!L12-'Balance Sheet'!K12)+('Balance Sheet'!L16-'Balance Sheet'!K16)</f>
        <v>-8</v>
      </c>
    </row>
    <row r="18" spans="1:12" x14ac:dyDescent="0.3">
      <c r="A18" t="s">
        <v>136</v>
      </c>
      <c r="C18" s="12">
        <v>-1.8</v>
      </c>
      <c r="D18" s="12">
        <v>-1.8</v>
      </c>
      <c r="E18" s="12">
        <v>-2.2999999999999998</v>
      </c>
      <c r="F18" s="12">
        <v>-3</v>
      </c>
      <c r="G18" s="12">
        <v>-9.1999999999999993</v>
      </c>
      <c r="H18" s="12">
        <f>-'Income Statement'!H26*0.15</f>
        <v>-9.2999999999999989</v>
      </c>
      <c r="I18" s="12">
        <f>-'Income Statement'!I26*0.15</f>
        <v>-14.383031250000002</v>
      </c>
      <c r="J18" s="12">
        <f>-'Income Statement'!J26*0.15</f>
        <v>-22.0503</v>
      </c>
      <c r="K18" s="12">
        <f>-'Income Statement'!K26*0.15</f>
        <v>-30.950400000000002</v>
      </c>
      <c r="L18" s="12">
        <f>-'Income Statement'!L26*0.15</f>
        <v>-41.187374999999996</v>
      </c>
    </row>
    <row r="19" spans="1:12" x14ac:dyDescent="0.3">
      <c r="A19" s="27" t="s">
        <v>105</v>
      </c>
      <c r="B19" s="28"/>
      <c r="C19" s="30">
        <f t="shared" ref="C19:L19" si="2">C17+C18</f>
        <v>-4.8</v>
      </c>
      <c r="D19" s="30">
        <f t="shared" si="2"/>
        <v>-6.8</v>
      </c>
      <c r="E19" s="30">
        <f t="shared" si="2"/>
        <v>-0.29999999999999982</v>
      </c>
      <c r="F19" s="30">
        <f t="shared" si="2"/>
        <v>-4</v>
      </c>
      <c r="G19" s="30">
        <f t="shared" si="2"/>
        <v>90.8</v>
      </c>
      <c r="H19" s="30">
        <f t="shared" si="2"/>
        <v>-17.299999999999997</v>
      </c>
      <c r="I19" s="30">
        <f t="shared" si="2"/>
        <v>-22.383031250000002</v>
      </c>
      <c r="J19" s="30">
        <f t="shared" si="2"/>
        <v>-30.0503</v>
      </c>
      <c r="K19" s="30">
        <f t="shared" si="2"/>
        <v>-38.950400000000002</v>
      </c>
      <c r="L19" s="30">
        <f t="shared" si="2"/>
        <v>-49.187374999999996</v>
      </c>
    </row>
    <row r="21" spans="1:12" x14ac:dyDescent="0.3">
      <c r="A21" s="35" t="s">
        <v>106</v>
      </c>
      <c r="B21" s="36"/>
      <c r="C21" s="37">
        <f t="shared" ref="C21:L21" si="3">C9+C14+C19</f>
        <v>-3.9999999999999991</v>
      </c>
      <c r="D21" s="37">
        <f t="shared" si="3"/>
        <v>0.49999999999998312</v>
      </c>
      <c r="E21" s="37">
        <f t="shared" si="3"/>
        <v>1.8000000000000123</v>
      </c>
      <c r="F21" s="37">
        <f t="shared" si="3"/>
        <v>9.7000000000000171</v>
      </c>
      <c r="G21" s="37">
        <f t="shared" si="3"/>
        <v>105.00000000000003</v>
      </c>
      <c r="H21" s="37">
        <f t="shared" si="3"/>
        <v>-28.767123287671225</v>
      </c>
      <c r="I21" s="37">
        <f t="shared" si="3"/>
        <v>45.99288484589043</v>
      </c>
      <c r="J21" s="37">
        <f t="shared" si="3"/>
        <v>39.727590410958918</v>
      </c>
      <c r="K21" s="37">
        <f t="shared" si="3"/>
        <v>84.303956164383578</v>
      </c>
      <c r="L21" s="37">
        <f t="shared" si="3"/>
        <v>144.78991952054795</v>
      </c>
    </row>
    <row r="22" spans="1:12" x14ac:dyDescent="0.3">
      <c r="A22" s="35" t="s">
        <v>137</v>
      </c>
      <c r="B22" s="36"/>
      <c r="C22" s="37">
        <v>7</v>
      </c>
      <c r="D22" s="37">
        <f>'Balance Sheet'!C31</f>
        <v>3</v>
      </c>
      <c r="E22" s="37">
        <f>'Balance Sheet'!D31</f>
        <v>3.5</v>
      </c>
      <c r="F22" s="37">
        <f>'Balance Sheet'!E31</f>
        <v>5.3</v>
      </c>
      <c r="G22" s="37">
        <f>'Balance Sheet'!F31</f>
        <v>15</v>
      </c>
      <c r="H22" s="37">
        <f>'Balance Sheet'!G31</f>
        <v>120</v>
      </c>
      <c r="I22" s="37">
        <f>'Balance Sheet'!H31</f>
        <v>139.8128767123288</v>
      </c>
      <c r="J22" s="37">
        <f>'Balance Sheet'!I31</f>
        <v>185.80576155821919</v>
      </c>
      <c r="K22" s="37">
        <f>'Balance Sheet'!J31</f>
        <v>225.53335196917806</v>
      </c>
      <c r="L22" s="37">
        <f>'Balance Sheet'!K31</f>
        <v>309.83730813356181</v>
      </c>
    </row>
    <row r="23" spans="1:12" x14ac:dyDescent="0.3">
      <c r="A23" s="35" t="s">
        <v>138</v>
      </c>
      <c r="B23" s="36"/>
      <c r="C23" s="37">
        <f t="shared" ref="C23:L23" si="4">C21+C22</f>
        <v>3.0000000000000009</v>
      </c>
      <c r="D23" s="37">
        <f t="shared" si="4"/>
        <v>3.4999999999999831</v>
      </c>
      <c r="E23" s="37">
        <f t="shared" si="4"/>
        <v>5.3000000000000123</v>
      </c>
      <c r="F23" s="37">
        <f t="shared" si="4"/>
        <v>15.000000000000018</v>
      </c>
      <c r="G23" s="37">
        <f t="shared" si="4"/>
        <v>120.00000000000003</v>
      </c>
      <c r="H23" s="37">
        <f t="shared" si="4"/>
        <v>91.232876712328775</v>
      </c>
      <c r="I23" s="37">
        <f t="shared" si="4"/>
        <v>185.80576155821922</v>
      </c>
      <c r="J23" s="37">
        <f t="shared" si="4"/>
        <v>225.53335196917811</v>
      </c>
      <c r="K23" s="37">
        <f t="shared" si="4"/>
        <v>309.83730813356163</v>
      </c>
      <c r="L23" s="37">
        <f t="shared" si="4"/>
        <v>454.62722765410979</v>
      </c>
    </row>
    <row r="25" spans="1:12" x14ac:dyDescent="0.3">
      <c r="A25" s="7" t="s">
        <v>107</v>
      </c>
      <c r="C25" s="29">
        <f t="shared" ref="C25:L25" si="5">C9+C12</f>
        <v>2.8000000000000007</v>
      </c>
      <c r="D25" s="29">
        <f t="shared" si="5"/>
        <v>12.299999999999983</v>
      </c>
      <c r="E25" s="29">
        <f t="shared" si="5"/>
        <v>7.1000000000000121</v>
      </c>
      <c r="F25" s="29">
        <f t="shared" si="5"/>
        <v>18.700000000000017</v>
      </c>
      <c r="G25" s="29">
        <f t="shared" si="5"/>
        <v>21.200000000000038</v>
      </c>
      <c r="H25" s="29">
        <f t="shared" si="5"/>
        <v>40.532876712328772</v>
      </c>
      <c r="I25" s="29">
        <f t="shared" si="5"/>
        <v>30.375916095890432</v>
      </c>
      <c r="J25" s="29">
        <f t="shared" si="5"/>
        <v>76.777890410958918</v>
      </c>
      <c r="K25" s="29">
        <f t="shared" si="5"/>
        <v>130.25435616438358</v>
      </c>
      <c r="L25" s="29">
        <f t="shared" si="5"/>
        <v>200.97729452054796</v>
      </c>
    </row>
    <row r="26" spans="1:12" x14ac:dyDescent="0.3">
      <c r="A26" t="s">
        <v>108</v>
      </c>
      <c r="C26" s="26">
        <f>C25/'Income Statement'!C5</f>
        <v>3.0701754385964918E-2</v>
      </c>
      <c r="D26" s="26">
        <f>D25/'Income Statement'!D5</f>
        <v>6.6847826086956427E-2</v>
      </c>
      <c r="E26" s="26">
        <f>E25/'Income Statement'!E5</f>
        <v>3.1263760457948098E-2</v>
      </c>
      <c r="F26" s="26">
        <f>F25/'Income Statement'!F5</f>
        <v>6.2941770447660778E-2</v>
      </c>
      <c r="G26" s="26">
        <f>G25/'Income Statement'!G5</f>
        <v>5.748373101952288E-2</v>
      </c>
      <c r="H26" s="26">
        <f>H25/'Income Statement'!H5</f>
        <v>0.10133219178082192</v>
      </c>
      <c r="I26" s="26">
        <f>I25/'Income Statement'!I5</f>
        <v>5.5735625864019138E-2</v>
      </c>
      <c r="J26" s="26">
        <f>J25/'Income Statement'!J5</f>
        <v>0.10663595890410961</v>
      </c>
      <c r="K26" s="26">
        <f>K25/'Income Statement'!K5</f>
        <v>0.14158082191780824</v>
      </c>
      <c r="L26" s="26">
        <f>L25/'Income Statement'!L5</f>
        <v>0.17629587238644559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18B7-D79D-4A95-A08D-C99918D923F5}">
  <dimension ref="A1:L40"/>
  <sheetViews>
    <sheetView topLeftCell="A15" workbookViewId="0">
      <selection activeCell="K22" sqref="K22"/>
    </sheetView>
  </sheetViews>
  <sheetFormatPr defaultRowHeight="14.4" x14ac:dyDescent="0.3"/>
  <cols>
    <col min="1" max="1" width="33.33203125" customWidth="1"/>
    <col min="3" max="12" width="15.77734375" customWidth="1"/>
  </cols>
  <sheetData>
    <row r="1" spans="1:12" ht="18" x14ac:dyDescent="0.35">
      <c r="A1" s="2" t="s">
        <v>109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3">
      <c r="A2" s="4" t="s">
        <v>110</v>
      </c>
    </row>
    <row r="4" spans="1:12" x14ac:dyDescent="0.3">
      <c r="A4" s="5" t="s">
        <v>111</v>
      </c>
      <c r="B4" s="6"/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5" t="s">
        <v>9</v>
      </c>
      <c r="I4" s="25" t="s">
        <v>10</v>
      </c>
      <c r="J4" s="25" t="s">
        <v>11</v>
      </c>
      <c r="K4" s="25" t="s">
        <v>12</v>
      </c>
      <c r="L4" s="25" t="s">
        <v>13</v>
      </c>
    </row>
    <row r="5" spans="1:12" x14ac:dyDescent="0.3">
      <c r="A5" s="39" t="s">
        <v>112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">
      <c r="A6" t="s">
        <v>113</v>
      </c>
      <c r="C6" s="14">
        <f>('Income Statement'!C5-'Income Statement'!C11)/'Income Statement'!C5</f>
        <v>0.49013157894736842</v>
      </c>
      <c r="D6" s="14">
        <f>('Income Statement'!D5-'Income Statement'!D11)/'Income Statement'!D5</f>
        <v>0.49021739130434783</v>
      </c>
      <c r="E6" s="14">
        <f>('Income Statement'!E5-'Income Statement'!E11)/'Income Statement'!E5</f>
        <v>0.53500660501981512</v>
      </c>
      <c r="F6" s="14">
        <f>('Income Statement'!F5-'Income Statement'!F11)/'Income Statement'!F5</f>
        <v>0.49983170649612929</v>
      </c>
      <c r="G6" s="14">
        <f>('Income Statement'!G5-'Income Statement'!G11)/'Income Statement'!G5</f>
        <v>0.52006507592190887</v>
      </c>
      <c r="H6" s="14">
        <f>('Income Statement'!H5-'Income Statement'!H11)/'Income Statement'!H5</f>
        <v>0.53</v>
      </c>
      <c r="I6" s="14">
        <f>('Income Statement'!I5-'Income Statement'!I11)/'Income Statement'!I5</f>
        <v>0.54499999999999993</v>
      </c>
      <c r="J6" s="14">
        <f>('Income Statement'!J5-'Income Statement'!J11)/'Income Statement'!J5</f>
        <v>0.55999999999999994</v>
      </c>
      <c r="K6" s="14">
        <f>('Income Statement'!K5-'Income Statement'!K11)/'Income Statement'!K5</f>
        <v>0.57000000000000006</v>
      </c>
      <c r="L6" s="14">
        <f>('Income Statement'!L5-'Income Statement'!L11)/'Income Statement'!L5</f>
        <v>0.58000000000000007</v>
      </c>
    </row>
    <row r="7" spans="1:12" x14ac:dyDescent="0.3">
      <c r="A7" t="s">
        <v>27</v>
      </c>
      <c r="C7" s="14">
        <f>'Income Statement'!C18</f>
        <v>0.2105263157894737</v>
      </c>
      <c r="D7" s="14">
        <f>'Income Statement'!D18</f>
        <v>0.22989130434782598</v>
      </c>
      <c r="E7" s="14">
        <f>'Income Statement'!E18</f>
        <v>0.2699251431087627</v>
      </c>
      <c r="F7" s="14">
        <f>'Income Statement'!F18</f>
        <v>0.19993268259845171</v>
      </c>
      <c r="G7" s="14">
        <f>'Income Statement'!G18</f>
        <v>0.23020607375271157</v>
      </c>
      <c r="H7" s="14">
        <f>'Income Statement'!H18</f>
        <v>0.22</v>
      </c>
      <c r="I7" s="14">
        <f>'Income Statement'!I18</f>
        <v>0.24500000000000005</v>
      </c>
      <c r="J7" s="14">
        <f>'Income Statement'!J18</f>
        <v>0.28000000000000003</v>
      </c>
      <c r="K7" s="14">
        <f>'Income Statement'!K18</f>
        <v>0.30500000000000005</v>
      </c>
      <c r="L7" s="14">
        <f>'Income Statement'!L18</f>
        <v>0.32500000000000001</v>
      </c>
    </row>
    <row r="8" spans="1:12" x14ac:dyDescent="0.3">
      <c r="A8" t="s">
        <v>31</v>
      </c>
      <c r="C8" s="14">
        <f>'Income Statement'!C27</f>
        <v>0.11293859649122807</v>
      </c>
      <c r="D8" s="14">
        <f>'Income Statement'!D27</f>
        <v>0.16576086956521732</v>
      </c>
      <c r="E8" s="14">
        <f>'Income Statement'!E27</f>
        <v>0.20387494495816827</v>
      </c>
      <c r="F8" s="14">
        <f>'Income Statement'!F27</f>
        <v>0.15382026253786607</v>
      </c>
      <c r="G8" s="14">
        <f>'Income Statement'!G27</f>
        <v>0.19685466377440355</v>
      </c>
      <c r="H8" s="14">
        <f>'Income Statement'!H27</f>
        <v>0.155</v>
      </c>
      <c r="I8" s="14">
        <f>'Income Statement'!I27</f>
        <v>0.17593922018348626</v>
      </c>
      <c r="J8" s="14">
        <f>'Income Statement'!J27</f>
        <v>0.20416944444444446</v>
      </c>
      <c r="K8" s="14">
        <f>'Income Statement'!K27</f>
        <v>0.22427826086956523</v>
      </c>
      <c r="L8" s="14">
        <f>'Income Statement'!L27</f>
        <v>0.24086184210526315</v>
      </c>
    </row>
    <row r="9" spans="1:12" x14ac:dyDescent="0.3">
      <c r="A9" t="s">
        <v>114</v>
      </c>
      <c r="C9" s="14">
        <f>'Income Statement'!C26/'Balance Sheet'!C8</f>
        <v>0.21458333333333335</v>
      </c>
      <c r="D9" s="14">
        <f>'Income Statement'!D26/'Balance Sheet'!D8</f>
        <v>0.38853503184713356</v>
      </c>
      <c r="E9" s="14">
        <f>'Income Statement'!E26/'Balance Sheet'!E8</f>
        <v>0.37099358974358987</v>
      </c>
      <c r="F9" s="14">
        <f>'Income Statement'!F26/'Balance Sheet'!F8</f>
        <v>0.27365269461077851</v>
      </c>
      <c r="G9" s="14">
        <f>'Income Statement'!G26/'Balance Sheet'!G8</f>
        <v>0.36796756208819081</v>
      </c>
      <c r="H9" s="14">
        <f>'Income Statement'!H26/'Balance Sheet'!H8</f>
        <v>0.20764954116149778</v>
      </c>
      <c r="I9" s="14">
        <f>'Income Statement'!I26/'Balance Sheet'!I8</f>
        <v>0.25227821854766752</v>
      </c>
      <c r="J9" s="14">
        <f>'Income Statement'!J26/'Balance Sheet'!J8</f>
        <v>0.29107258255226515</v>
      </c>
      <c r="K9" s="14">
        <f>'Income Statement'!K26/'Balance Sheet'!K8</f>
        <v>0.30324748414316161</v>
      </c>
      <c r="L9" s="14">
        <f>'Income Statement'!L26/'Balance Sheet'!L8</f>
        <v>0.30047889208144496</v>
      </c>
    </row>
    <row r="10" spans="1:12" x14ac:dyDescent="0.3">
      <c r="A10" t="s">
        <v>115</v>
      </c>
      <c r="C10" s="14">
        <f>'Income Statement'!C22/('Balance Sheet'!C8+'Balance Sheet'!C11+'Balance Sheet'!C16)</f>
        <v>0.23114754098360657</v>
      </c>
      <c r="D10" s="14">
        <f>'Income Statement'!D22/('Balance Sheet'!D8+'Balance Sheet'!D11+'Balance Sheet'!D16)</f>
        <v>0.4494252873563217</v>
      </c>
      <c r="E10" s="14">
        <f>'Income Statement'!E22/('Balance Sheet'!E8+'Balance Sheet'!E11+'Balance Sheet'!E16)</f>
        <v>0.38857545839210161</v>
      </c>
      <c r="F10" s="14">
        <f>'Income Statement'!F22/('Balance Sheet'!F8+'Balance Sheet'!F11+'Balance Sheet'!F16)</f>
        <v>0.29893617021276603</v>
      </c>
      <c r="G10" s="14">
        <f>'Income Statement'!G22/('Balance Sheet'!G8+'Balance Sheet'!G11+'Balance Sheet'!G16)</f>
        <v>0.38684087727484856</v>
      </c>
      <c r="H10" s="14">
        <f>'Income Statement'!H22/('Balance Sheet'!H8+'Balance Sheet'!H11+'Balance Sheet'!H16)</f>
        <v>0.25593448077292213</v>
      </c>
      <c r="I10" s="14">
        <f>'Income Statement'!I22/('Balance Sheet'!I8+'Balance Sheet'!I11+'Balance Sheet'!I16)</f>
        <v>0.31636438573793685</v>
      </c>
      <c r="J10" s="14">
        <f>'Income Statement'!J22/('Balance Sheet'!J8+'Balance Sheet'!J11+'Balance Sheet'!J16)</f>
        <v>0.36972097218361594</v>
      </c>
      <c r="K10" s="14">
        <f>'Income Statement'!K22/('Balance Sheet'!K8+'Balance Sheet'!K11+'Balance Sheet'!K16)</f>
        <v>0.38843272114918614</v>
      </c>
      <c r="L10" s="14">
        <f>'Income Statement'!L22/('Balance Sheet'!L8+'Balance Sheet'!L11+'Balance Sheet'!L16)</f>
        <v>0.38686799098206121</v>
      </c>
    </row>
    <row r="12" spans="1:12" x14ac:dyDescent="0.3">
      <c r="A12" s="39" t="s">
        <v>116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t="s">
        <v>64</v>
      </c>
      <c r="C13" s="42">
        <f>'Income Statement'!C29</f>
        <v>10.729166666666668</v>
      </c>
      <c r="D13" s="42">
        <f>'Income Statement'!D29</f>
        <v>31.770833333333318</v>
      </c>
      <c r="E13" s="42">
        <f>'Income Statement'!E29</f>
        <v>48.229166666666679</v>
      </c>
      <c r="F13" s="42">
        <f>'Income Statement'!F29</f>
        <v>47.604166666666679</v>
      </c>
      <c r="G13" s="42">
        <f>'Income Statement'!G29</f>
        <v>71.88118811881192</v>
      </c>
      <c r="H13" s="42">
        <f>'Income Statement'!H29</f>
        <v>59.707241910631744</v>
      </c>
      <c r="I13" s="42">
        <f>'Income Statement'!I29</f>
        <v>92.340981317411419</v>
      </c>
      <c r="J13" s="42">
        <f>'Income Statement'!J29</f>
        <v>141.56587057010788</v>
      </c>
      <c r="K13" s="42">
        <f>'Income Statement'!K29</f>
        <v>198.70570107858245</v>
      </c>
      <c r="L13" s="42">
        <f>'Income Statement'!L29</f>
        <v>264.42844761171028</v>
      </c>
    </row>
    <row r="14" spans="1:12" x14ac:dyDescent="0.3">
      <c r="A14" t="s">
        <v>117</v>
      </c>
      <c r="C14" s="42">
        <f>'Balance Sheet'!C8/'Income Statement'!C30</f>
        <v>50</v>
      </c>
      <c r="D14" s="42">
        <f>'Balance Sheet'!D8/'Income Statement'!D30</f>
        <v>81.770833333333343</v>
      </c>
      <c r="E14" s="42">
        <f>'Balance Sheet'!E8/'Income Statement'!E30</f>
        <v>130</v>
      </c>
      <c r="F14" s="42">
        <f>'Balance Sheet'!F8/'Income Statement'!F30</f>
        <v>173.95833333333334</v>
      </c>
      <c r="G14" s="42">
        <f>'Balance Sheet'!G8/'Income Statement'!G30</f>
        <v>195.34653465346534</v>
      </c>
      <c r="H14" s="42">
        <f>'Balance Sheet'!H8/'Income Statement'!H30</f>
        <v>287.53852080123266</v>
      </c>
      <c r="I14" s="42">
        <f>'Balance Sheet'!I8/'Income Statement'!I30</f>
        <v>366.02835492103236</v>
      </c>
      <c r="J14" s="42">
        <f>'Balance Sheet'!J8/'Income Statement'!J30</f>
        <v>486.35934490562408</v>
      </c>
      <c r="K14" s="42">
        <f>'Balance Sheet'!K8/'Income Statement'!K30</f>
        <v>655.25919082241921</v>
      </c>
      <c r="L14" s="42">
        <f>'Balance Sheet'!L8/'Income Statement'!L30</f>
        <v>880.02337129237299</v>
      </c>
    </row>
    <row r="15" spans="1:12" x14ac:dyDescent="0.3">
      <c r="A15" t="s">
        <v>118</v>
      </c>
      <c r="C15" s="14"/>
      <c r="D15" s="14">
        <f t="shared" ref="D15:L15" si="0">(D13-C13)/C13</f>
        <v>1.9611650485436876</v>
      </c>
      <c r="E15" s="14">
        <f t="shared" si="0"/>
        <v>0.51803278688524701</v>
      </c>
      <c r="F15" s="14">
        <f t="shared" si="0"/>
        <v>-1.2958963282937361E-2</v>
      </c>
      <c r="G15" s="14">
        <f t="shared" si="0"/>
        <v>0.50997681825075336</v>
      </c>
      <c r="H15" s="14">
        <f t="shared" si="0"/>
        <v>-0.16936206157385636</v>
      </c>
      <c r="I15" s="14">
        <f t="shared" si="0"/>
        <v>0.54656250000000017</v>
      </c>
      <c r="J15" s="14">
        <f t="shared" si="0"/>
        <v>0.5330773893715901</v>
      </c>
      <c r="K15" s="14">
        <f t="shared" si="0"/>
        <v>0.40362716153521716</v>
      </c>
      <c r="L15" s="14">
        <f t="shared" si="0"/>
        <v>0.33075420673076894</v>
      </c>
    </row>
    <row r="17" spans="1:12" x14ac:dyDescent="0.3">
      <c r="A17" s="39" t="s">
        <v>119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">
      <c r="A18" t="s">
        <v>33</v>
      </c>
      <c r="C18" s="19">
        <v>150</v>
      </c>
      <c r="D18" s="19">
        <v>132</v>
      </c>
      <c r="E18" s="19">
        <v>135</v>
      </c>
      <c r="F18" s="19">
        <v>125</v>
      </c>
      <c r="G18" s="19">
        <v>122</v>
      </c>
      <c r="H18" s="19">
        <v>120</v>
      </c>
      <c r="I18" s="19">
        <v>115</v>
      </c>
      <c r="J18" s="19">
        <v>110</v>
      </c>
      <c r="K18" s="19">
        <v>105</v>
      </c>
      <c r="L18" s="19">
        <v>100</v>
      </c>
    </row>
    <row r="19" spans="1:12" x14ac:dyDescent="0.3">
      <c r="A19" t="s">
        <v>34</v>
      </c>
      <c r="C19" s="19">
        <v>90</v>
      </c>
      <c r="D19" s="19">
        <v>85</v>
      </c>
      <c r="E19" s="19">
        <v>95</v>
      </c>
      <c r="F19" s="19">
        <v>100</v>
      </c>
      <c r="G19" s="19">
        <v>105</v>
      </c>
      <c r="H19" s="19">
        <v>100</v>
      </c>
      <c r="I19" s="19">
        <v>95</v>
      </c>
      <c r="J19" s="19">
        <v>90</v>
      </c>
      <c r="K19" s="19">
        <v>85</v>
      </c>
      <c r="L19" s="19">
        <v>80</v>
      </c>
    </row>
    <row r="20" spans="1:12" x14ac:dyDescent="0.3">
      <c r="A20" t="s">
        <v>35</v>
      </c>
      <c r="C20" s="19">
        <v>80</v>
      </c>
      <c r="D20" s="19">
        <v>70</v>
      </c>
      <c r="E20" s="19">
        <v>75</v>
      </c>
      <c r="F20" s="19">
        <v>72</v>
      </c>
      <c r="G20" s="19">
        <v>70</v>
      </c>
      <c r="H20" s="19">
        <v>70</v>
      </c>
      <c r="I20" s="19">
        <v>68</v>
      </c>
      <c r="J20" s="19">
        <v>65</v>
      </c>
      <c r="K20" s="19">
        <v>62</v>
      </c>
      <c r="L20" s="19">
        <v>60</v>
      </c>
    </row>
    <row r="21" spans="1:12" x14ac:dyDescent="0.3">
      <c r="A21" t="s">
        <v>120</v>
      </c>
      <c r="C21" s="44">
        <f>('Balance Sheet'!C11+'Balance Sheet'!C16)/'Balance Sheet'!C8</f>
        <v>0.27083333333333331</v>
      </c>
      <c r="D21" s="44">
        <f>('Balance Sheet'!D11+'Balance Sheet'!D16)/'Balance Sheet'!D8</f>
        <v>0.10828025477707007</v>
      </c>
      <c r="E21" s="44">
        <f>('Balance Sheet'!E11+'Balance Sheet'!E16)/'Balance Sheet'!E8</f>
        <v>0.13621794871794873</v>
      </c>
      <c r="F21" s="44">
        <f>('Balance Sheet'!F11+'Balance Sheet'!F16)/'Balance Sheet'!F8</f>
        <v>0.12574850299401197</v>
      </c>
      <c r="G21" s="44">
        <f>('Balance Sheet'!G11+'Balance Sheet'!G16)/'Balance Sheet'!G8</f>
        <v>8.6163203243791189E-2</v>
      </c>
      <c r="H21" s="44">
        <f>('Balance Sheet'!H11+'Balance Sheet'!H16)/'Balance Sheet'!H8</f>
        <v>4.6888606068725303E-2</v>
      </c>
      <c r="I21" s="44">
        <f>('Balance Sheet'!I11+'Balance Sheet'!I16)/'Balance Sheet'!I8</f>
        <v>2.8940982840710391E-2</v>
      </c>
      <c r="J21" s="44">
        <f>('Balance Sheet'!J11+'Balance Sheet'!J16)/'Balance Sheet'!J8</f>
        <v>1.5840469248160714E-2</v>
      </c>
      <c r="K21" s="44">
        <f>('Balance Sheet'!K11+'Balance Sheet'!K16)/'Balance Sheet'!K8</f>
        <v>7.3483901050510232E-3</v>
      </c>
      <c r="L21" s="44">
        <f>('Balance Sheet'!L11+'Balance Sheet'!L16)/'Balance Sheet'!L8</f>
        <v>2.1886237621220944E-3</v>
      </c>
    </row>
    <row r="22" spans="1:12" x14ac:dyDescent="0.3">
      <c r="A22" t="s">
        <v>121</v>
      </c>
      <c r="C22" s="43">
        <f>('Balance Sheet'!C29+'Balance Sheet'!C30+'Balance Sheet'!C31+'Balance Sheet'!C32)/'Balance Sheet'!C18</f>
        <v>1.4047619047619047</v>
      </c>
      <c r="D22" s="43">
        <f>('Balance Sheet'!D29+'Balance Sheet'!D30+'Balance Sheet'!D31+'Balance Sheet'!D32)/'Balance Sheet'!D18</f>
        <v>1.5630630630630631</v>
      </c>
      <c r="E22" s="43">
        <f>('Balance Sheet'!E29+'Balance Sheet'!E30+'Balance Sheet'!E31+'Balance Sheet'!E32)/'Balance Sheet'!E18</f>
        <v>2.0737951807228914</v>
      </c>
      <c r="F22" s="43">
        <f>('Balance Sheet'!F29+'Balance Sheet'!F30+'Balance Sheet'!F31+'Balance Sheet'!F32)/'Balance Sheet'!F18</f>
        <v>2.1134676564156947</v>
      </c>
      <c r="G22" s="43">
        <f>('Balance Sheet'!G29+'Balance Sheet'!G30+'Balance Sheet'!G31+'Balance Sheet'!G32)/'Balance Sheet'!G18</f>
        <v>3.2480392156862745</v>
      </c>
      <c r="H22" s="43">
        <f>('Balance Sheet'!H29+'Balance Sheet'!H30+'Balance Sheet'!H31+'Balance Sheet'!H32)/'Balance Sheet'!H18</f>
        <v>3.5983086138049063</v>
      </c>
      <c r="I22" s="43">
        <f>('Balance Sheet'!I29+'Balance Sheet'!I30+'Balance Sheet'!I31+'Balance Sheet'!I32)/'Balance Sheet'!I18</f>
        <v>4.0801259234506606</v>
      </c>
      <c r="J22" s="43">
        <f>('Balance Sheet'!J29+'Balance Sheet'!J30+'Balance Sheet'!J31+'Balance Sheet'!J32)/'Balance Sheet'!J18</f>
        <v>4.4228699133599658</v>
      </c>
      <c r="K22" s="43">
        <f>('Balance Sheet'!K29+'Balance Sheet'!K30+'Balance Sheet'!K31+'Balance Sheet'!K32)/'Balance Sheet'!K18</f>
        <v>5.0558739598881175</v>
      </c>
      <c r="L22" s="43">
        <f>('Balance Sheet'!L29+'Balance Sheet'!L30+'Balance Sheet'!L31+'Balance Sheet'!L32)/'Balance Sheet'!L18</f>
        <v>5.9368444243337333</v>
      </c>
    </row>
    <row r="23" spans="1:12" x14ac:dyDescent="0.3">
      <c r="A23" t="s">
        <v>122</v>
      </c>
      <c r="C23" s="43">
        <f>IF('Income Statement'!C21=0,0,'Income Statement'!C17/'Income Statement'!C21)</f>
        <v>10.666666666666668</v>
      </c>
      <c r="D23" s="43">
        <f>IF('Income Statement'!D21=0,0,'Income Statement'!D17/'Income Statement'!D21)</f>
        <v>23.499999999999989</v>
      </c>
      <c r="E23" s="43">
        <f>IF('Income Statement'!E21=0,0,'Income Statement'!E17/'Income Statement'!E21)</f>
        <v>26.652173913043484</v>
      </c>
      <c r="F23" s="43">
        <f>IF('Income Statement'!F21=0,0,'Income Statement'!F17/'Income Statement'!F21)</f>
        <v>19.8</v>
      </c>
      <c r="G23" s="43">
        <f>IF('Income Statement'!G21=0,0,'Income Statement'!G17/'Income Statement'!G21)</f>
        <v>9.2282608695652222</v>
      </c>
      <c r="H23" s="43">
        <f>IF('Income Statement'!H21=0,0,'Income Statement'!H17/'Income Statement'!H21)</f>
        <v>14.666666666666666</v>
      </c>
      <c r="I23" s="43">
        <f>IF('Income Statement'!I21=0,0,'Income Statement'!I17/'Income Statement'!I21)</f>
        <v>20.416666666666671</v>
      </c>
      <c r="J23" s="43">
        <f>IF('Income Statement'!J21=0,0,'Income Statement'!J17/'Income Statement'!J21)</f>
        <v>28.000000000000004</v>
      </c>
      <c r="K23" s="43">
        <f>IF('Income Statement'!K21=0,0,'Income Statement'!K17/'Income Statement'!K21)</f>
        <v>38.125</v>
      </c>
      <c r="L23" s="43">
        <f>IF('Income Statement'!L21=0,0,'Income Statement'!L17/'Income Statement'!L21)</f>
        <v>46.428571428571423</v>
      </c>
    </row>
    <row r="25" spans="1:12" x14ac:dyDescent="0.3">
      <c r="A25" s="39" t="s">
        <v>123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3">
      <c r="A26" t="s">
        <v>15</v>
      </c>
      <c r="C26" s="14">
        <f>'Income Statement'!C6</f>
        <v>0.28000000000000003</v>
      </c>
      <c r="D26" s="14">
        <f>'Income Statement'!D6</f>
        <v>0.57999999999999996</v>
      </c>
      <c r="E26" s="14">
        <f>'Income Statement'!E6</f>
        <v>0.23400000000000001</v>
      </c>
      <c r="F26" s="14">
        <f>'Income Statement'!F6</f>
        <v>0.308</v>
      </c>
      <c r="G26" s="14">
        <f>'Income Statement'!G6</f>
        <v>0.24099999999999999</v>
      </c>
      <c r="H26" s="14">
        <f>'Income Statement'!H6</f>
        <v>8.459869848156179E-2</v>
      </c>
      <c r="I26" s="14">
        <f>'Income Statement'!I6</f>
        <v>0.36249999999999999</v>
      </c>
      <c r="J26" s="14">
        <f>'Income Statement'!J6</f>
        <v>0.32110091743119268</v>
      </c>
      <c r="K26" s="14">
        <f>'Income Statement'!K6</f>
        <v>0.27777777777777779</v>
      </c>
      <c r="L26" s="14">
        <f>'Income Statement'!L6</f>
        <v>0.2391304347826087</v>
      </c>
    </row>
    <row r="27" spans="1:12" x14ac:dyDescent="0.3">
      <c r="A27" t="s">
        <v>124</v>
      </c>
      <c r="C27" s="14"/>
      <c r="D27" s="14">
        <f>('Income Statement'!D17-'Income Statement'!C17)/'Income Statement'!C17</f>
        <v>1.2031249999999989</v>
      </c>
      <c r="E27" s="14">
        <f>('Income Statement'!E17-'Income Statement'!D17)/'Income Statement'!D17</f>
        <v>0.44917257683215217</v>
      </c>
      <c r="F27" s="14">
        <f>('Income Statement'!F17-'Income Statement'!E17)/'Income Statement'!E17</f>
        <v>-3.0995106035889158E-2</v>
      </c>
      <c r="G27" s="14">
        <f>('Income Statement'!G17-'Income Statement'!F17)/'Income Statement'!F17</f>
        <v>0.42929292929292973</v>
      </c>
      <c r="H27" s="14">
        <f>('Income Statement'!H17-'Income Statement'!G17)/'Income Statement'!G17</f>
        <v>3.6513545347467195E-2</v>
      </c>
      <c r="I27" s="14">
        <f>('Income Statement'!I17-'Income Statement'!H17)/'Income Statement'!H17</f>
        <v>0.51732954545454579</v>
      </c>
      <c r="J27" s="14">
        <f>('Income Statement'!J17-'Income Statement'!I17)/'Income Statement'!I17</f>
        <v>0.50982961992136278</v>
      </c>
      <c r="K27" s="14">
        <f>('Income Statement'!K17-'Income Statement'!J17)/'Income Statement'!J17</f>
        <v>0.39186507936507931</v>
      </c>
      <c r="L27" s="14">
        <f>('Income Statement'!L17-'Income Statement'!K17)/'Income Statement'!K17</f>
        <v>0.32038488952245175</v>
      </c>
    </row>
    <row r="28" spans="1:12" x14ac:dyDescent="0.3">
      <c r="A28" t="s">
        <v>125</v>
      </c>
      <c r="C28" s="14"/>
      <c r="D28" s="14">
        <f>('Income Statement'!D26-'Income Statement'!C26)/'Income Statement'!C26</f>
        <v>1.9611650485436878</v>
      </c>
      <c r="E28" s="14">
        <f>('Income Statement'!E26-'Income Statement'!D26)/'Income Statement'!D26</f>
        <v>0.51803278688524701</v>
      </c>
      <c r="F28" s="14">
        <f>('Income Statement'!F26-'Income Statement'!E26)/'Income Statement'!E26</f>
        <v>-1.2958963282937393E-2</v>
      </c>
      <c r="G28" s="14">
        <f>('Income Statement'!G26-'Income Statement'!F26)/'Income Statement'!F26</f>
        <v>0.58862144420131335</v>
      </c>
      <c r="H28" s="14">
        <f>('Income Statement'!H26-'Income Statement'!G26)/'Income Statement'!G26</f>
        <v>-0.14600550964187373</v>
      </c>
      <c r="I28" s="14">
        <f>('Income Statement'!I26-'Income Statement'!H26)/'Income Statement'!H26</f>
        <v>0.54656250000000028</v>
      </c>
      <c r="J28" s="14">
        <f>('Income Statement'!J26-'Income Statement'!I26)/'Income Statement'!I26</f>
        <v>0.53307738937158999</v>
      </c>
      <c r="K28" s="14">
        <f>('Income Statement'!K26-'Income Statement'!J26)/'Income Statement'!J26</f>
        <v>0.40362716153521722</v>
      </c>
      <c r="L28" s="14">
        <f>('Income Statement'!L26-'Income Statement'!K26)/'Income Statement'!K26</f>
        <v>0.33075420673076905</v>
      </c>
    </row>
    <row r="30" spans="1:12" x14ac:dyDescent="0.3">
      <c r="A30" s="39" t="s">
        <v>126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x14ac:dyDescent="0.3">
      <c r="A31" s="40" t="s">
        <v>127</v>
      </c>
      <c r="H31" s="41">
        <v>1101</v>
      </c>
    </row>
    <row r="32" spans="1:12" x14ac:dyDescent="0.3">
      <c r="A32" t="s">
        <v>128</v>
      </c>
      <c r="H32" s="12">
        <f>H31*Assumptions!G38</f>
        <v>1143.2783999999999</v>
      </c>
    </row>
    <row r="33" spans="1:12" x14ac:dyDescent="0.3">
      <c r="A33" t="s">
        <v>129</v>
      </c>
      <c r="C33" s="43">
        <f t="shared" ref="C33:L33" si="1">IF(C13=0,0,$H$31/C13)</f>
        <v>102.61747572815533</v>
      </c>
      <c r="D33" s="43">
        <f t="shared" si="1"/>
        <v>34.654426229508211</v>
      </c>
      <c r="E33" s="43">
        <f t="shared" si="1"/>
        <v>22.828509719222456</v>
      </c>
      <c r="F33" s="43">
        <f t="shared" si="1"/>
        <v>23.128227571115968</v>
      </c>
      <c r="G33" s="43">
        <f t="shared" si="1"/>
        <v>15.316942148760322</v>
      </c>
      <c r="H33" s="43">
        <f t="shared" si="1"/>
        <v>18.439974193548387</v>
      </c>
      <c r="I33" s="43">
        <f t="shared" si="1"/>
        <v>11.923200125147471</v>
      </c>
      <c r="J33" s="43">
        <f t="shared" si="1"/>
        <v>7.7772982680507736</v>
      </c>
      <c r="K33" s="43">
        <f t="shared" si="1"/>
        <v>5.540857630272952</v>
      </c>
      <c r="L33" s="43">
        <f t="shared" si="1"/>
        <v>4.1636972494605455</v>
      </c>
    </row>
    <row r="34" spans="1:12" x14ac:dyDescent="0.3">
      <c r="A34" t="s">
        <v>130</v>
      </c>
      <c r="C34" s="43">
        <f>($H$32+'Balance Sheet'!C11+'Balance Sheet'!C16-'Balance Sheet'!C31)/'Income Statement'!C17</f>
        <v>60.06658333333332</v>
      </c>
      <c r="D34" s="43">
        <f>($H$32+'Balance Sheet'!D11+'Balance Sheet'!D16-'Balance Sheet'!D31)/'Income Statement'!D17</f>
        <v>27.146061465721051</v>
      </c>
      <c r="E34" s="43">
        <f>($H$32+'Balance Sheet'!E11+'Balance Sheet'!E16-'Balance Sheet'!E31)/'Income Statement'!E17</f>
        <v>18.841409461663943</v>
      </c>
      <c r="F34" s="43">
        <f>($H$32+'Balance Sheet'!F11+'Balance Sheet'!F16-'Balance Sheet'!F31)/'Income Statement'!F17</f>
        <v>19.34812121212121</v>
      </c>
      <c r="G34" s="43">
        <f>($H$32+'Balance Sheet'!G11+'Balance Sheet'!G16-'Balance Sheet'!G31)/'Income Statement'!G17</f>
        <v>12.252984687868075</v>
      </c>
      <c r="H34" s="43">
        <f>($H$32+'Balance Sheet'!H11+'Balance Sheet'!H16-'Balance Sheet'!H31)/'Income Statement'!H17</f>
        <v>11.56210821917808</v>
      </c>
      <c r="I34" s="43">
        <f>($H$32+'Balance Sheet'!I11+'Balance Sheet'!I16-'Balance Sheet'!I31)/'Income Statement'!I17</f>
        <v>7.2531184305694101</v>
      </c>
      <c r="J34" s="43">
        <f>($H$32+'Balance Sheet'!J11+'Balance Sheet'!J16-'Balance Sheet'!J31)/'Income Statement'!J17</f>
        <v>4.5919893255497115</v>
      </c>
      <c r="K34" s="43">
        <f>($H$32+'Balance Sheet'!K11+'Balance Sheet'!K16-'Balance Sheet'!K31)/'Income Statement'!K17</f>
        <v>2.9880295504862366</v>
      </c>
      <c r="L34" s="43">
        <f>($H$32+'Balance Sheet'!L11+'Balance Sheet'!L16-'Balance Sheet'!L31)/'Income Statement'!L17</f>
        <v>1.8641057283289886</v>
      </c>
    </row>
    <row r="35" spans="1:12" x14ac:dyDescent="0.3">
      <c r="A35" t="s">
        <v>131</v>
      </c>
      <c r="C35" s="43">
        <f t="shared" ref="C35:L35" si="2">IF(C14=0,0,$H$31/C14)</f>
        <v>22.02</v>
      </c>
      <c r="D35" s="43">
        <f t="shared" si="2"/>
        <v>13.464458598726113</v>
      </c>
      <c r="E35" s="43">
        <f t="shared" si="2"/>
        <v>8.4692307692307693</v>
      </c>
      <c r="F35" s="43">
        <f t="shared" si="2"/>
        <v>6.3291017964071852</v>
      </c>
      <c r="G35" s="43">
        <f t="shared" si="2"/>
        <v>5.6361378611251904</v>
      </c>
      <c r="H35" s="43">
        <f t="shared" si="2"/>
        <v>3.8290521803201822</v>
      </c>
      <c r="I35" s="43">
        <f t="shared" si="2"/>
        <v>3.0079636869595303</v>
      </c>
      <c r="J35" s="43">
        <f t="shared" si="2"/>
        <v>2.2637582921607979</v>
      </c>
      <c r="K35" s="43">
        <f t="shared" si="2"/>
        <v>1.6802511363757129</v>
      </c>
      <c r="L35" s="43">
        <f t="shared" si="2"/>
        <v>1.2511031364804643</v>
      </c>
    </row>
    <row r="37" spans="1:12" x14ac:dyDescent="0.3">
      <c r="A37" s="39" t="s">
        <v>132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3">
      <c r="A38" t="s">
        <v>133</v>
      </c>
      <c r="G38" s="14">
        <f>('Income Statement'!G5/'Income Statement'!C5)^(1/4)-1</f>
        <v>0.4180744051785974</v>
      </c>
    </row>
    <row r="39" spans="1:12" x14ac:dyDescent="0.3">
      <c r="A39" t="s">
        <v>134</v>
      </c>
      <c r="L39" s="14">
        <f>('Income Statement'!L5/'Income Statement'!G5)^(1/5)-1</f>
        <v>0.25320693002131711</v>
      </c>
    </row>
    <row r="40" spans="1:12" x14ac:dyDescent="0.3">
      <c r="A40" t="s">
        <v>135</v>
      </c>
      <c r="L40" s="14">
        <f>('Income Statement'!L26/'Income Statement'!G26)^(1/5)-1</f>
        <v>0.30480991098230059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44B8-0A82-4661-B5C1-0C32D7A6DCC9}">
  <dimension ref="A1:H91"/>
  <sheetViews>
    <sheetView topLeftCell="A79" workbookViewId="0">
      <selection activeCell="G83" sqref="G83"/>
    </sheetView>
  </sheetViews>
  <sheetFormatPr defaultRowHeight="14.4" x14ac:dyDescent="0.3"/>
  <cols>
    <col min="1" max="1" width="40.77734375" customWidth="1"/>
    <col min="2" max="8" width="18.5546875" customWidth="1"/>
  </cols>
  <sheetData>
    <row r="1" spans="1:6" ht="18" x14ac:dyDescent="0.35">
      <c r="A1" s="1" t="s">
        <v>139</v>
      </c>
    </row>
    <row r="2" spans="1:6" x14ac:dyDescent="0.3">
      <c r="A2" s="45" t="s">
        <v>140</v>
      </c>
    </row>
    <row r="4" spans="1:6" x14ac:dyDescent="0.3">
      <c r="A4" s="5" t="s">
        <v>141</v>
      </c>
    </row>
    <row r="5" spans="1:6" x14ac:dyDescent="0.3">
      <c r="A5" s="8" t="s">
        <v>142</v>
      </c>
      <c r="B5" s="8" t="s">
        <v>143</v>
      </c>
      <c r="C5" s="8" t="s">
        <v>144</v>
      </c>
    </row>
    <row r="6" spans="1:6" x14ac:dyDescent="0.3">
      <c r="A6" t="s">
        <v>145</v>
      </c>
      <c r="B6" s="15">
        <v>0.13</v>
      </c>
      <c r="C6" t="s">
        <v>146</v>
      </c>
    </row>
    <row r="7" spans="1:6" x14ac:dyDescent="0.3">
      <c r="A7" t="s">
        <v>147</v>
      </c>
      <c r="B7" s="15">
        <v>0.05</v>
      </c>
      <c r="C7" t="s">
        <v>148</v>
      </c>
    </row>
    <row r="8" spans="1:6" x14ac:dyDescent="0.3">
      <c r="A8" t="s">
        <v>65</v>
      </c>
      <c r="B8" s="44">
        <f>'Income Statement'!L30</f>
        <v>1.0384</v>
      </c>
      <c r="C8" t="s">
        <v>149</v>
      </c>
    </row>
    <row r="9" spans="1:6" x14ac:dyDescent="0.3">
      <c r="A9" t="s">
        <v>150</v>
      </c>
      <c r="B9" s="42">
        <f>'Balance Sheet'!G11+'Balance Sheet'!G16-'Balance Sheet'!G31</f>
        <v>-103</v>
      </c>
      <c r="C9" t="s">
        <v>151</v>
      </c>
    </row>
    <row r="10" spans="1:6" x14ac:dyDescent="0.3">
      <c r="A10" t="s">
        <v>152</v>
      </c>
      <c r="B10" t="s">
        <v>153</v>
      </c>
    </row>
    <row r="11" spans="1:6" x14ac:dyDescent="0.3">
      <c r="A11" t="s">
        <v>154</v>
      </c>
      <c r="B11" t="s">
        <v>155</v>
      </c>
    </row>
    <row r="12" spans="1:6" x14ac:dyDescent="0.3">
      <c r="A12" t="s">
        <v>156</v>
      </c>
      <c r="B12" t="s">
        <v>157</v>
      </c>
    </row>
    <row r="14" spans="1:6" x14ac:dyDescent="0.3">
      <c r="A14" s="5" t="s">
        <v>158</v>
      </c>
      <c r="B14" s="6"/>
      <c r="C14" s="6"/>
      <c r="D14" s="6"/>
      <c r="E14" s="6"/>
      <c r="F14" s="6"/>
    </row>
    <row r="15" spans="1:6" x14ac:dyDescent="0.3">
      <c r="A15" s="8"/>
      <c r="B15" s="9" t="s">
        <v>9</v>
      </c>
      <c r="C15" s="9" t="s">
        <v>10</v>
      </c>
      <c r="D15" s="9" t="s">
        <v>11</v>
      </c>
      <c r="E15" s="9" t="s">
        <v>12</v>
      </c>
      <c r="F15" s="9" t="s">
        <v>13</v>
      </c>
    </row>
    <row r="16" spans="1:6" x14ac:dyDescent="0.3">
      <c r="A16" t="s">
        <v>159</v>
      </c>
      <c r="B16" s="42">
        <f>'Cash Flow'!H25</f>
        <v>40.532876712328772</v>
      </c>
      <c r="C16" s="42">
        <f>'Cash Flow'!I25</f>
        <v>30.375916095890432</v>
      </c>
      <c r="D16" s="42">
        <f>'Cash Flow'!J25</f>
        <v>76.777890410958918</v>
      </c>
      <c r="E16" s="42">
        <f>'Cash Flow'!K25</f>
        <v>130.25435616438358</v>
      </c>
      <c r="F16" s="42">
        <f>'Cash Flow'!L25</f>
        <v>200.97729452054796</v>
      </c>
    </row>
    <row r="17" spans="1:8" x14ac:dyDescent="0.3">
      <c r="A17" t="s">
        <v>160</v>
      </c>
      <c r="B17" s="43">
        <v>0.5</v>
      </c>
      <c r="C17" s="43">
        <v>1.5</v>
      </c>
      <c r="D17" s="43">
        <v>2.5</v>
      </c>
      <c r="E17" s="43">
        <v>3.5</v>
      </c>
      <c r="F17" s="43">
        <v>4.5</v>
      </c>
    </row>
    <row r="18" spans="1:8" x14ac:dyDescent="0.3">
      <c r="A18" t="s">
        <v>161</v>
      </c>
      <c r="B18" s="46">
        <f>1/(1+$B$6)^B17</f>
        <v>0.94072086838359736</v>
      </c>
      <c r="C18" s="46">
        <f>1/(1+$B$6)^C17</f>
        <v>0.83249634370229864</v>
      </c>
      <c r="D18" s="46">
        <f>1/(1+$B$6)^D17</f>
        <v>0.73672242805513155</v>
      </c>
      <c r="E18" s="46">
        <f>1/(1+$B$6)^E17</f>
        <v>0.65196675049126696</v>
      </c>
      <c r="F18" s="46">
        <f>1/(1+$B$6)^F17</f>
        <v>0.57696172609846641</v>
      </c>
    </row>
    <row r="19" spans="1:8" x14ac:dyDescent="0.3">
      <c r="A19" t="s">
        <v>162</v>
      </c>
      <c r="B19" s="42">
        <f>B16*B18</f>
        <v>38.130122978907217</v>
      </c>
      <c r="C19" s="42">
        <f>C16*C18</f>
        <v>25.287839086436588</v>
      </c>
      <c r="D19" s="42">
        <f>D16*D18</f>
        <v>56.563993844512453</v>
      </c>
      <c r="E19" s="42">
        <f>E16*E18</f>
        <v>84.921509325825284</v>
      </c>
      <c r="F19" s="42">
        <f>F16*F18</f>
        <v>115.95620675317521</v>
      </c>
    </row>
    <row r="21" spans="1:8" x14ac:dyDescent="0.3">
      <c r="A21" s="7" t="s">
        <v>163</v>
      </c>
      <c r="B21" s="47">
        <f>SUM(B19:F19)</f>
        <v>320.85967198885675</v>
      </c>
    </row>
    <row r="22" spans="1:8" x14ac:dyDescent="0.3">
      <c r="A22" s="7" t="s">
        <v>164</v>
      </c>
      <c r="B22" s="47">
        <f>F16*(1+$B$7)/($B$6-$B$7)</f>
        <v>2637.8269905821921</v>
      </c>
      <c r="C22" s="48" t="s">
        <v>228</v>
      </c>
    </row>
    <row r="23" spans="1:8" x14ac:dyDescent="0.3">
      <c r="A23" s="7" t="s">
        <v>165</v>
      </c>
      <c r="B23" s="47">
        <f>B22/(1+$B$6)^F17</f>
        <v>1521.9252136354246</v>
      </c>
    </row>
    <row r="25" spans="1:8" x14ac:dyDescent="0.3">
      <c r="A25" s="27" t="s">
        <v>167</v>
      </c>
      <c r="B25" s="49">
        <f>B21+B23</f>
        <v>1842.7848856242813</v>
      </c>
      <c r="C25" s="48" t="s">
        <v>226</v>
      </c>
    </row>
    <row r="26" spans="1:8" x14ac:dyDescent="0.3">
      <c r="A26" s="7" t="s">
        <v>166</v>
      </c>
      <c r="B26" s="42">
        <f>B9</f>
        <v>-103</v>
      </c>
      <c r="C26" s="48" t="s">
        <v>171</v>
      </c>
    </row>
    <row r="27" spans="1:8" x14ac:dyDescent="0.3">
      <c r="A27" s="27" t="s">
        <v>168</v>
      </c>
      <c r="B27" s="49">
        <f>B25-B26</f>
        <v>1945.7848856242813</v>
      </c>
    </row>
    <row r="28" spans="1:8" x14ac:dyDescent="0.3">
      <c r="A28" t="s">
        <v>65</v>
      </c>
      <c r="B28" s="44">
        <f>B8</f>
        <v>1.0384</v>
      </c>
    </row>
    <row r="29" spans="1:8" ht="15.6" x14ac:dyDescent="0.3">
      <c r="A29" s="50" t="s">
        <v>169</v>
      </c>
      <c r="B29" s="51">
        <f>B27/B28</f>
        <v>1873.8298205164497</v>
      </c>
      <c r="C29" s="48" t="s">
        <v>227</v>
      </c>
    </row>
    <row r="30" spans="1:8" x14ac:dyDescent="0.3">
      <c r="A30" t="s">
        <v>170</v>
      </c>
      <c r="B30" s="52">
        <v>1101</v>
      </c>
    </row>
    <row r="32" spans="1:8" x14ac:dyDescent="0.3">
      <c r="A32" s="5" t="s">
        <v>172</v>
      </c>
      <c r="B32" s="6"/>
      <c r="C32" s="6"/>
      <c r="D32" s="6"/>
      <c r="E32" s="6"/>
      <c r="F32" s="6"/>
      <c r="G32" s="6"/>
      <c r="H32" s="6"/>
    </row>
    <row r="33" spans="1:8" x14ac:dyDescent="0.3">
      <c r="A33" s="57" t="s">
        <v>173</v>
      </c>
      <c r="B33" s="56">
        <v>0.03</v>
      </c>
      <c r="C33" s="56">
        <v>0.04</v>
      </c>
      <c r="D33" s="56">
        <v>4.4999999999999998E-2</v>
      </c>
      <c r="E33" s="56">
        <v>0.05</v>
      </c>
      <c r="F33" s="56">
        <v>5.5E-2</v>
      </c>
      <c r="G33" s="56">
        <v>0.06</v>
      </c>
      <c r="H33" s="56">
        <v>7.0000000000000007E-2</v>
      </c>
    </row>
    <row r="34" spans="1:8" x14ac:dyDescent="0.3">
      <c r="A34" s="58">
        <v>0.11</v>
      </c>
      <c r="B34" s="54">
        <f>(B$16/(1+$A34)^0.5+C$16/(1+$A34)^1.5+D$16/(1+$A34)^2.5+E$16/(1+$A34)^3.5+F$16/(1+$A34)^4.5+F$16*(1+B$33)/($A34-B$33)/(1+$A34)^4.5-$B$9)/$B$8</f>
        <v>1984.3125406565516</v>
      </c>
      <c r="C34" s="54">
        <f>(B$16/(1+$A34)^0.5+C$16/(1+$A34)^1.5+D$16/(1+$A34)^2.5+E$16/(1+$A34)^3.5+F$16/(1+$A34)^4.5+F$16*(1+C$33)/($A34-C$33)/(1+$A34)^4.5-$B$9)/$B$8</f>
        <v>2224.1758732803464</v>
      </c>
      <c r="D34" s="54">
        <f>(B$16/(1+$A34)^0.5+C$16/(1+$A34)^1.5+D$16/(1+$A34)^2.5+E$16/(1+$A34)^3.5+F$16/(1+$A34)^4.5+F$16*(1+D$33)/($A34-D$33)/(1+$A34)^4.5-$B$9)/$B$8</f>
        <v>2371.7840779719127</v>
      </c>
      <c r="E34" s="54">
        <f>(B$16/(1+$A34)^0.5+C$16/(1+$A34)^1.5+D$16/(1+$A34)^2.5+E$16/(1+$A34)^3.5+F$16/(1+$A34)^4.5+F$16*(1+E$33)/($A34-E$33)/(1+$A34)^4.5-$B$9)/$B$8</f>
        <v>2543.9936501120728</v>
      </c>
      <c r="F34" s="54">
        <f>(B$16/(1+$A34)^0.5+C$16/(1+$A34)^1.5+D$16/(1+$A34)^2.5+E$16/(1+$A34)^3.5+F$16/(1+$A34)^4.5+F$16*(1+F$33)/($A34-F$33)/(1+$A34)^4.5-$B$9)/$B$8</f>
        <v>2747.5140535504443</v>
      </c>
      <c r="G34" s="54">
        <f>(B$16/(1+$A34)^0.5+C$16/(1+$A34)^1.5+D$16/(1+$A34)^2.5+E$16/(1+$A34)^3.5+F$16/(1+$A34)^4.5+F$16*(1+G$33)/($A34-G$33)/(1+$A34)^4.5-$B$9)/$B$8</f>
        <v>2991.7385376764901</v>
      </c>
      <c r="H34" s="54">
        <f>(B$16/(1+$A34)^0.5+C$16/(1+$A34)^1.5+D$16/(1+$A34)^2.5+E$16/(1+$A34)^3.5+F$16/(1+$A34)^4.5+F$16*(1+H$33)/($A34-H$33)/(1+$A34)^4.5-$B$9)/$B$8</f>
        <v>3663.3558690231166</v>
      </c>
    </row>
    <row r="35" spans="1:8" x14ac:dyDescent="0.3">
      <c r="A35" s="58">
        <v>0.115</v>
      </c>
      <c r="B35" s="54">
        <f t="shared" ref="B35:B40" si="0">(B$16/(1+$A35)^0.5+C$16/(1+$A35)^1.5+D$16/(1+$A35)^2.5+E$16/(1+$A35)^3.5+F$16/(1+$A35)^4.5+F$16*(1+B$33)/($A35-B$33)/(1+$A35)^4.5-$B$9)/$B$8</f>
        <v>1858.6351199939322</v>
      </c>
      <c r="C35" s="54">
        <f t="shared" ref="C35:C40" si="1">(B$16/(1+$A35)^0.5+C$16/(1+$A35)^1.5+D$16/(1+$A35)^2.5+E$16/(1+$A35)^3.5+F$16/(1+$A35)^4.5+F$16*(1+C$33)/($A35-C$33)/(1+$A35)^4.5-$B$9)/$B$8</f>
        <v>2066.050086743614</v>
      </c>
      <c r="D35" s="54">
        <f t="shared" ref="D35:D40" si="2">(B$16/(1+$A35)^0.5+C$16/(1+$A35)^1.5+D$16/(1+$A35)^2.5+E$16/(1+$A35)^3.5+F$16/(1+$A35)^4.5+F$16*(1+D$33)/($A35-D$33)/(1+$A35)^4.5-$B$9)/$B$8</f>
        <v>2191.9806022702064</v>
      </c>
      <c r="E35" s="54">
        <f t="shared" ref="E35:E40" si="3">(B$16/(1+$A35)^0.5+C$16/(1+$A35)^1.5+D$16/(1+$A35)^2.5+E$16/(1+$A35)^3.5+F$16/(1+$A35)^4.5+F$16*(1+E$33)/($A35-E$33)/(1+$A35)^4.5-$B$9)/$B$8</f>
        <v>2337.2850432624286</v>
      </c>
      <c r="F35" s="54">
        <f t="shared" ref="F35:F40" si="4">(B$16/(1+$A35)^0.5+C$16/(1+$A35)^1.5+D$16/(1+$A35)^2.5+E$16/(1+$A35)^3.5+F$16/(1+$A35)^4.5+F$16*(1+F$33)/($A35-F$33)/(1+$A35)^4.5-$B$9)/$B$8</f>
        <v>2506.8068910866873</v>
      </c>
      <c r="G35" s="54">
        <f t="shared" ref="G35:G40" si="5">(B$16/(1+$A35)^0.5+C$16/(1+$A35)^1.5+D$16/(1+$A35)^2.5+E$16/(1+$A35)^3.5+F$16/(1+$A35)^4.5+F$16*(1+G$33)/($A35-G$33)/(1+$A35)^4.5-$B$9)/$B$8</f>
        <v>2707.1508930608115</v>
      </c>
      <c r="H35" s="54">
        <f t="shared" ref="H35:H40" si="6">(B$16/(1+$A35)^0.5+C$16/(1+$A35)^1.5+D$16/(1+$A35)^2.5+E$16/(1+$A35)^3.5+F$16/(1+$A35)^4.5+F$16*(1+H$33)/($A35-H$33)/(1+$A35)^4.5-$B$9)/$B$8</f>
        <v>3241.4015649918101</v>
      </c>
    </row>
    <row r="36" spans="1:8" x14ac:dyDescent="0.3">
      <c r="A36" s="58">
        <v>0.12</v>
      </c>
      <c r="B36" s="54">
        <f t="shared" si="0"/>
        <v>1747.1770931241349</v>
      </c>
      <c r="C36" s="54">
        <f t="shared" si="1"/>
        <v>1927.9722283254719</v>
      </c>
      <c r="D36" s="54">
        <f t="shared" si="2"/>
        <v>2036.449309446273</v>
      </c>
      <c r="E36" s="54">
        <f t="shared" si="3"/>
        <v>2160.4231164414755</v>
      </c>
      <c r="F36" s="54">
        <f t="shared" si="4"/>
        <v>2303.4698168205546</v>
      </c>
      <c r="G36" s="54">
        <f t="shared" si="5"/>
        <v>2470.3576339294809</v>
      </c>
      <c r="H36" s="54">
        <f t="shared" si="6"/>
        <v>2904.2659584126882</v>
      </c>
    </row>
    <row r="37" spans="1:8" x14ac:dyDescent="0.3">
      <c r="A37" s="58">
        <v>0.13</v>
      </c>
      <c r="B37" s="54">
        <f t="shared" si="0"/>
        <v>1558.3672973291227</v>
      </c>
      <c r="C37" s="54">
        <f t="shared" si="1"/>
        <v>1698.5728631901572</v>
      </c>
      <c r="D37" s="54">
        <f t="shared" si="2"/>
        <v>1781.0467254613534</v>
      </c>
      <c r="E37" s="55">
        <f>(B$16/(1+$A37)^0.5+C$16/(1+$A37)^1.5+D$16/(1+$A37)^2.5+E$16/(1+$A37)^3.5+F$16/(1+$A37)^4.5+F$16*(1+E$33)/($A37-E$33)/(1+$A37)^4.5-$B$9)/$B$8</f>
        <v>1873.8298205164497</v>
      </c>
      <c r="F37" s="54">
        <f t="shared" si="4"/>
        <v>1978.9839949122247</v>
      </c>
      <c r="G37" s="54">
        <f t="shared" si="5"/>
        <v>2099.160194221683</v>
      </c>
      <c r="H37" s="54">
        <f t="shared" si="6"/>
        <v>2399.6006924953276</v>
      </c>
    </row>
    <row r="38" spans="1:8" x14ac:dyDescent="0.3">
      <c r="A38" s="58">
        <v>0.14000000000000001</v>
      </c>
      <c r="B38" s="54">
        <f t="shared" si="0"/>
        <v>1404.6677664215035</v>
      </c>
      <c r="C38" s="54">
        <f t="shared" si="1"/>
        <v>1515.8979493166555</v>
      </c>
      <c r="D38" s="54">
        <f t="shared" si="2"/>
        <v>1580.2943709927961</v>
      </c>
      <c r="E38" s="54">
        <f t="shared" si="3"/>
        <v>1651.8459506329523</v>
      </c>
      <c r="F38" s="54">
        <f t="shared" si="4"/>
        <v>1731.8153631719504</v>
      </c>
      <c r="G38" s="54">
        <f t="shared" si="5"/>
        <v>1821.7809522783232</v>
      </c>
      <c r="H38" s="54">
        <f t="shared" si="6"/>
        <v>2040.2688115366575</v>
      </c>
    </row>
    <row r="39" spans="1:8" x14ac:dyDescent="0.3">
      <c r="A39" s="58">
        <v>0.15</v>
      </c>
      <c r="B39" s="54">
        <f t="shared" si="0"/>
        <v>1277.269957568609</v>
      </c>
      <c r="C39" s="54">
        <f t="shared" si="1"/>
        <v>1367.1712517547155</v>
      </c>
      <c r="D39" s="54">
        <f t="shared" si="2"/>
        <v>1418.5434198610619</v>
      </c>
      <c r="E39" s="54">
        <f t="shared" si="3"/>
        <v>1475.0528047780431</v>
      </c>
      <c r="F39" s="54">
        <f t="shared" si="4"/>
        <v>1537.5105460020748</v>
      </c>
      <c r="G39" s="54">
        <f t="shared" si="5"/>
        <v>1606.9080362509992</v>
      </c>
      <c r="H39" s="54">
        <f t="shared" si="6"/>
        <v>1771.7270755921943</v>
      </c>
    </row>
    <row r="40" spans="1:8" x14ac:dyDescent="0.3">
      <c r="A40" s="58">
        <v>0.16</v>
      </c>
      <c r="B40" s="54">
        <f t="shared" si="0"/>
        <v>1170.0771353216883</v>
      </c>
      <c r="C40" s="54">
        <f t="shared" si="1"/>
        <v>1243.8768623614151</v>
      </c>
      <c r="D40" s="54">
        <f t="shared" si="2"/>
        <v>1285.5897515577819</v>
      </c>
      <c r="E40" s="54">
        <f t="shared" si="3"/>
        <v>1331.0947215901826</v>
      </c>
      <c r="F40" s="54">
        <f t="shared" si="4"/>
        <v>1380.9334982923351</v>
      </c>
      <c r="G40" s="54">
        <f t="shared" si="5"/>
        <v>1435.7561526647034</v>
      </c>
      <c r="H40" s="54">
        <f t="shared" si="6"/>
        <v>1563.675679533563</v>
      </c>
    </row>
    <row r="42" spans="1:8" x14ac:dyDescent="0.3">
      <c r="A42" s="5" t="s">
        <v>174</v>
      </c>
      <c r="B42" s="6"/>
      <c r="C42" s="6"/>
      <c r="D42" s="6"/>
      <c r="E42" s="6"/>
      <c r="F42" s="6"/>
      <c r="G42" s="6"/>
    </row>
    <row r="43" spans="1:8" x14ac:dyDescent="0.3">
      <c r="A43" s="57" t="s">
        <v>175</v>
      </c>
      <c r="B43" s="64" t="s">
        <v>176</v>
      </c>
      <c r="C43" s="64" t="s">
        <v>177</v>
      </c>
      <c r="D43" s="64" t="s">
        <v>178</v>
      </c>
      <c r="E43" s="64" t="s">
        <v>179</v>
      </c>
      <c r="F43" s="64" t="s">
        <v>180</v>
      </c>
      <c r="G43" s="64" t="s">
        <v>181</v>
      </c>
    </row>
    <row r="44" spans="1:8" x14ac:dyDescent="0.3">
      <c r="A44" s="61" t="s">
        <v>183</v>
      </c>
      <c r="B44" s="59">
        <v>15823</v>
      </c>
      <c r="C44" s="59">
        <v>4560</v>
      </c>
      <c r="D44" s="60">
        <v>9</v>
      </c>
      <c r="E44" s="60">
        <v>8</v>
      </c>
      <c r="F44" s="60">
        <v>3.5</v>
      </c>
      <c r="G44" s="60">
        <v>3.5</v>
      </c>
    </row>
    <row r="45" spans="1:8" x14ac:dyDescent="0.3">
      <c r="A45" s="61" t="s">
        <v>184</v>
      </c>
      <c r="B45" s="59">
        <v>63805</v>
      </c>
      <c r="C45" s="59">
        <v>14000</v>
      </c>
      <c r="D45" s="60">
        <v>28.6</v>
      </c>
      <c r="E45" s="60">
        <v>24.2</v>
      </c>
      <c r="F45" s="60">
        <v>4.5999999999999996</v>
      </c>
      <c r="G45" s="60">
        <v>4.5999999999999996</v>
      </c>
    </row>
    <row r="46" spans="1:8" x14ac:dyDescent="0.3">
      <c r="A46" s="61" t="s">
        <v>185</v>
      </c>
      <c r="B46" s="59">
        <v>36482</v>
      </c>
      <c r="C46" s="59">
        <v>5202</v>
      </c>
      <c r="D46" s="60">
        <v>35</v>
      </c>
      <c r="E46" s="60">
        <v>28</v>
      </c>
      <c r="F46" s="60">
        <v>7</v>
      </c>
      <c r="G46" s="60">
        <v>7</v>
      </c>
    </row>
    <row r="47" spans="1:8" x14ac:dyDescent="0.3">
      <c r="A47" s="61" t="s">
        <v>186</v>
      </c>
      <c r="B47" s="59">
        <v>62000</v>
      </c>
      <c r="C47" s="59">
        <v>30000</v>
      </c>
      <c r="D47" s="60">
        <v>17.899999999999999</v>
      </c>
      <c r="E47" s="60">
        <v>14</v>
      </c>
      <c r="F47" s="60">
        <v>2.1</v>
      </c>
      <c r="G47" s="60">
        <v>2.1</v>
      </c>
    </row>
    <row r="48" spans="1:8" x14ac:dyDescent="0.3">
      <c r="A48" s="61" t="s">
        <v>187</v>
      </c>
      <c r="B48" s="59">
        <v>400000</v>
      </c>
      <c r="C48" s="59">
        <v>52000</v>
      </c>
      <c r="D48" s="60">
        <v>36.9</v>
      </c>
      <c r="E48" s="60">
        <v>30</v>
      </c>
      <c r="F48" s="60">
        <v>7.7</v>
      </c>
      <c r="G48" s="60">
        <v>7.7</v>
      </c>
    </row>
    <row r="49" spans="1:7" x14ac:dyDescent="0.3">
      <c r="A49" s="61" t="s">
        <v>188</v>
      </c>
      <c r="B49" s="59">
        <v>1200</v>
      </c>
      <c r="C49" s="59">
        <v>800</v>
      </c>
      <c r="D49" s="60">
        <v>15</v>
      </c>
      <c r="E49" s="60">
        <v>10</v>
      </c>
      <c r="F49" s="60">
        <v>1.5</v>
      </c>
      <c r="G49" s="60">
        <v>1.5</v>
      </c>
    </row>
    <row r="50" spans="1:7" x14ac:dyDescent="0.3">
      <c r="A50" s="61" t="s">
        <v>189</v>
      </c>
      <c r="B50" s="59">
        <v>2516</v>
      </c>
      <c r="C50" s="59">
        <v>1762</v>
      </c>
      <c r="D50" s="60">
        <v>28.1</v>
      </c>
      <c r="E50" s="60">
        <v>16.2</v>
      </c>
      <c r="F50" s="60">
        <v>1.4</v>
      </c>
      <c r="G50" s="60">
        <v>1.4</v>
      </c>
    </row>
    <row r="51" spans="1:7" x14ac:dyDescent="0.3">
      <c r="A51" s="61" t="s">
        <v>190</v>
      </c>
      <c r="B51" s="59">
        <v>2230</v>
      </c>
      <c r="C51" s="59">
        <v>604</v>
      </c>
      <c r="D51" s="60">
        <v>25</v>
      </c>
      <c r="E51" s="60">
        <v>18</v>
      </c>
      <c r="F51" s="60">
        <v>3.7</v>
      </c>
      <c r="G51" s="60">
        <v>3.7</v>
      </c>
    </row>
    <row r="52" spans="1:7" x14ac:dyDescent="0.3">
      <c r="A52" s="61"/>
      <c r="B52" s="61"/>
      <c r="C52" s="61"/>
      <c r="D52" s="61"/>
      <c r="E52" s="61"/>
      <c r="F52" s="61"/>
      <c r="G52" s="61"/>
    </row>
    <row r="53" spans="1:7" x14ac:dyDescent="0.3">
      <c r="A53" s="65" t="s">
        <v>191</v>
      </c>
      <c r="B53" s="61"/>
      <c r="C53" s="61"/>
      <c r="D53" s="62">
        <f>MEDIAN(D44:D51)</f>
        <v>26.55</v>
      </c>
      <c r="E53" s="62">
        <f>MEDIAN(E44:E51)</f>
        <v>17.100000000000001</v>
      </c>
      <c r="F53" s="62">
        <f>MEDIAN(F44:F51)</f>
        <v>3.6</v>
      </c>
      <c r="G53" s="62">
        <f>MEDIAN(G44:G51)</f>
        <v>3.6</v>
      </c>
    </row>
    <row r="54" spans="1:7" x14ac:dyDescent="0.3">
      <c r="A54" s="66" t="s">
        <v>192</v>
      </c>
      <c r="B54" s="61"/>
      <c r="C54" s="61"/>
      <c r="D54" s="63">
        <f>AVERAGE(D44:D51)</f>
        <v>24.4375</v>
      </c>
      <c r="E54" s="63">
        <f>AVERAGE(E44:E51)</f>
        <v>18.55</v>
      </c>
      <c r="F54" s="63">
        <f>AVERAGE(F44:F51)</f>
        <v>3.9374999999999996</v>
      </c>
      <c r="G54" s="63">
        <f>AVERAGE(G44:G51)</f>
        <v>3.9374999999999996</v>
      </c>
    </row>
    <row r="56" spans="1:7" x14ac:dyDescent="0.3">
      <c r="A56" s="5" t="s">
        <v>193</v>
      </c>
      <c r="B56" s="6"/>
      <c r="C56" s="6"/>
      <c r="D56" s="6"/>
    </row>
    <row r="57" spans="1:7" x14ac:dyDescent="0.3">
      <c r="A57" s="8" t="s">
        <v>194</v>
      </c>
      <c r="B57" s="9" t="s">
        <v>195</v>
      </c>
      <c r="C57" s="9" t="s">
        <v>196</v>
      </c>
      <c r="D57" s="9" t="s">
        <v>182</v>
      </c>
    </row>
    <row r="58" spans="1:7" x14ac:dyDescent="0.3">
      <c r="A58" t="s">
        <v>177</v>
      </c>
      <c r="B58" s="12">
        <f>'Income Statement'!G5</f>
        <v>368.8</v>
      </c>
      <c r="C58" s="12">
        <f>'Income Statement'!L5</f>
        <v>1140</v>
      </c>
      <c r="D58" t="s">
        <v>197</v>
      </c>
    </row>
    <row r="59" spans="1:7" x14ac:dyDescent="0.3">
      <c r="A59" t="s">
        <v>198</v>
      </c>
      <c r="B59" s="12">
        <f>'Income Statement'!G17</f>
        <v>84.900000000000034</v>
      </c>
      <c r="C59" s="12">
        <f>'Income Statement'!L17</f>
        <v>370.5</v>
      </c>
      <c r="D59" t="s">
        <v>197</v>
      </c>
    </row>
    <row r="60" spans="1:7" x14ac:dyDescent="0.3">
      <c r="A60" t="s">
        <v>199</v>
      </c>
      <c r="B60" s="12">
        <f>'Income Statement'!G26</f>
        <v>72.600000000000037</v>
      </c>
      <c r="C60" s="12">
        <f>'Income Statement'!L26</f>
        <v>274.58249999999998</v>
      </c>
      <c r="D60" t="s">
        <v>197</v>
      </c>
    </row>
    <row r="61" spans="1:7" x14ac:dyDescent="0.3">
      <c r="A61" t="s">
        <v>200</v>
      </c>
      <c r="B61" s="12">
        <f>'Balance Sheet'!G11+'Balance Sheet'!G16-'Balance Sheet'!G31</f>
        <v>-103</v>
      </c>
      <c r="C61" s="12">
        <f>'Balance Sheet'!L11+'Balance Sheet'!L16-'Balance Sheet'!L31</f>
        <v>-452.62722765410967</v>
      </c>
      <c r="D61" t="s">
        <v>201</v>
      </c>
    </row>
    <row r="63" spans="1:7" x14ac:dyDescent="0.3">
      <c r="A63" s="8" t="s">
        <v>202</v>
      </c>
      <c r="B63" s="9" t="s">
        <v>203</v>
      </c>
      <c r="C63" s="9" t="s">
        <v>204</v>
      </c>
      <c r="D63" s="9" t="s">
        <v>205</v>
      </c>
      <c r="E63" s="9" t="s">
        <v>206</v>
      </c>
    </row>
    <row r="64" spans="1:7" x14ac:dyDescent="0.3">
      <c r="A64" s="8" t="s">
        <v>207</v>
      </c>
      <c r="B64" s="9" t="s">
        <v>208</v>
      </c>
      <c r="C64" s="9" t="s">
        <v>208</v>
      </c>
      <c r="D64" s="9" t="s">
        <v>209</v>
      </c>
      <c r="E64" s="9" t="s">
        <v>209</v>
      </c>
    </row>
    <row r="65" spans="1:5" x14ac:dyDescent="0.3">
      <c r="A65" t="s">
        <v>210</v>
      </c>
      <c r="B65" s="12">
        <f>$D$53*$B$60</f>
        <v>1927.5300000000011</v>
      </c>
      <c r="C65" s="12">
        <f>$D$53*$C$60</f>
        <v>7290.1653749999996</v>
      </c>
      <c r="D65" s="53">
        <f t="shared" ref="D65:E68" si="7">B65/$B$8</f>
        <v>1856.2500000000011</v>
      </c>
      <c r="E65" s="53">
        <f t="shared" si="7"/>
        <v>7020.575284090909</v>
      </c>
    </row>
    <row r="66" spans="1:5" x14ac:dyDescent="0.3">
      <c r="A66" t="s">
        <v>211</v>
      </c>
      <c r="B66" s="12">
        <f>$E$53*$B$59+$B$61</f>
        <v>1348.7900000000006</v>
      </c>
      <c r="C66" s="12">
        <f>$E$53*$C$59+$C$61</f>
        <v>5882.9227723458907</v>
      </c>
      <c r="D66" s="53">
        <f t="shared" si="7"/>
        <v>1298.9117873651778</v>
      </c>
      <c r="E66" s="53">
        <f t="shared" si="7"/>
        <v>5665.3724695164592</v>
      </c>
    </row>
    <row r="67" spans="1:5" x14ac:dyDescent="0.3">
      <c r="A67" t="s">
        <v>212</v>
      </c>
      <c r="B67" s="12">
        <f>$F$53*$B$58+$B$61</f>
        <v>1224.68</v>
      </c>
      <c r="C67" s="12">
        <f>$F$53*$C$58+$C$61</f>
        <v>3651.3727723458906</v>
      </c>
      <c r="D67" s="53">
        <f t="shared" si="7"/>
        <v>1179.3913713405238</v>
      </c>
      <c r="E67" s="53">
        <f t="shared" si="7"/>
        <v>3516.3451197475833</v>
      </c>
    </row>
    <row r="68" spans="1:5" x14ac:dyDescent="0.3">
      <c r="A68" t="s">
        <v>213</v>
      </c>
      <c r="B68" s="12">
        <f>$G$53*$B$58</f>
        <v>1327.68</v>
      </c>
      <c r="C68" s="12">
        <f>$G$53*$C$58</f>
        <v>4104</v>
      </c>
      <c r="D68" s="53">
        <f t="shared" si="7"/>
        <v>1278.582434514638</v>
      </c>
      <c r="E68" s="53">
        <f t="shared" si="7"/>
        <v>3952.2342064714949</v>
      </c>
    </row>
    <row r="71" spans="1:5" x14ac:dyDescent="0.3">
      <c r="A71" s="5" t="s">
        <v>214</v>
      </c>
      <c r="B71" s="6"/>
      <c r="C71" s="6"/>
      <c r="D71" s="6"/>
      <c r="E71" s="6"/>
    </row>
    <row r="72" spans="1:5" x14ac:dyDescent="0.3">
      <c r="A72" s="57" t="s">
        <v>207</v>
      </c>
      <c r="B72" s="64" t="s">
        <v>215</v>
      </c>
      <c r="C72" s="64" t="s">
        <v>216</v>
      </c>
      <c r="D72" s="64" t="s">
        <v>217</v>
      </c>
      <c r="E72" s="64" t="s">
        <v>144</v>
      </c>
    </row>
    <row r="73" spans="1:5" x14ac:dyDescent="0.3">
      <c r="A73" s="66" t="s">
        <v>218</v>
      </c>
      <c r="B73" s="59">
        <f>B38</f>
        <v>1404.6677664215035</v>
      </c>
      <c r="C73" s="68">
        <f>B29</f>
        <v>1873.8298205164497</v>
      </c>
      <c r="D73" s="59">
        <f>H34</f>
        <v>3663.3558690231166</v>
      </c>
      <c r="E73" s="67" t="s">
        <v>219</v>
      </c>
    </row>
    <row r="74" spans="1:5" x14ac:dyDescent="0.3">
      <c r="A74" s="61" t="s">
        <v>210</v>
      </c>
      <c r="B74" s="59">
        <f>D65</f>
        <v>1856.2500000000011</v>
      </c>
      <c r="C74" s="59">
        <f>AVERAGE(D65,E65)</f>
        <v>4438.412642045455</v>
      </c>
      <c r="D74" s="59">
        <f>E65</f>
        <v>7020.575284090909</v>
      </c>
      <c r="E74" s="67" t="s">
        <v>220</v>
      </c>
    </row>
    <row r="75" spans="1:5" x14ac:dyDescent="0.3">
      <c r="A75" s="61" t="s">
        <v>211</v>
      </c>
      <c r="B75" s="59">
        <f>D66</f>
        <v>1298.9117873651778</v>
      </c>
      <c r="C75" s="59">
        <f>AVERAGE(D66,E66)</f>
        <v>3482.1421284408184</v>
      </c>
      <c r="D75" s="59">
        <f>E66</f>
        <v>5665.3724695164592</v>
      </c>
      <c r="E75" s="67" t="s">
        <v>221</v>
      </c>
    </row>
    <row r="76" spans="1:5" x14ac:dyDescent="0.3">
      <c r="A76" s="61" t="s">
        <v>212</v>
      </c>
      <c r="B76" s="59">
        <f>D67</f>
        <v>1179.3913713405238</v>
      </c>
      <c r="C76" s="59">
        <f>AVERAGE(D67,E67)</f>
        <v>2347.8682455440535</v>
      </c>
      <c r="D76" s="59">
        <f>E67</f>
        <v>3516.3451197475833</v>
      </c>
      <c r="E76" s="67" t="s">
        <v>222</v>
      </c>
    </row>
    <row r="77" spans="1:5" x14ac:dyDescent="0.3">
      <c r="A77" s="61" t="s">
        <v>213</v>
      </c>
      <c r="B77" s="59">
        <f>D68</f>
        <v>1278.582434514638</v>
      </c>
      <c r="C77" s="59">
        <f>AVERAGE(D68,E68)</f>
        <v>2615.4083204930666</v>
      </c>
      <c r="D77" s="59">
        <f>E68</f>
        <v>3952.2342064714949</v>
      </c>
      <c r="E77" s="67" t="s">
        <v>223</v>
      </c>
    </row>
    <row r="78" spans="1:5" x14ac:dyDescent="0.3">
      <c r="A78" s="61"/>
      <c r="B78" s="61"/>
      <c r="C78" s="61"/>
      <c r="D78" s="61"/>
      <c r="E78" s="61"/>
    </row>
    <row r="79" spans="1:5" ht="15" thickBot="1" x14ac:dyDescent="0.35">
      <c r="A79" s="70" t="s">
        <v>224</v>
      </c>
      <c r="B79" s="69">
        <f>B30</f>
        <v>1101</v>
      </c>
      <c r="C79" s="69">
        <f>B30</f>
        <v>1101</v>
      </c>
      <c r="D79" s="69">
        <f>B30</f>
        <v>1101</v>
      </c>
      <c r="E79" s="71" t="s">
        <v>225</v>
      </c>
    </row>
    <row r="80" spans="1:5" x14ac:dyDescent="0.3">
      <c r="A80" s="74" t="s">
        <v>250</v>
      </c>
      <c r="B80" s="75">
        <f>(B73-B79)/B79</f>
        <v>0.27581086868438104</v>
      </c>
      <c r="C80" s="75">
        <f>(C73-C79)/C79</f>
        <v>0.70193444188596699</v>
      </c>
      <c r="D80" s="75">
        <f>(D73-D79)/D79</f>
        <v>2.3272987002934755</v>
      </c>
      <c r="E80" s="76" t="s">
        <v>244</v>
      </c>
    </row>
    <row r="81" spans="1:7" x14ac:dyDescent="0.3">
      <c r="A81" s="74" t="s">
        <v>251</v>
      </c>
      <c r="B81" s="75">
        <f>(B74-B79)/B79</f>
        <v>0.68596730245231707</v>
      </c>
      <c r="C81" s="75">
        <f>(C74-C79)/C79</f>
        <v>3.0312558056725294</v>
      </c>
      <c r="D81" s="75">
        <f>(D74-D79)/D79</f>
        <v>5.3765443088927425</v>
      </c>
      <c r="E81" s="48"/>
    </row>
    <row r="82" spans="1:7" x14ac:dyDescent="0.3">
      <c r="A82" s="74" t="s">
        <v>252</v>
      </c>
      <c r="B82" s="75">
        <f>(B75-B79)/B79</f>
        <v>0.17975639179398531</v>
      </c>
      <c r="C82" s="75">
        <f>(C75-C79)/C79</f>
        <v>2.1627085635248124</v>
      </c>
      <c r="D82" s="75">
        <f>(D75-D79)/D79</f>
        <v>4.1456607352556398</v>
      </c>
      <c r="E82" s="48"/>
    </row>
    <row r="83" spans="1:7" x14ac:dyDescent="0.3">
      <c r="A83" s="74" t="s">
        <v>253</v>
      </c>
      <c r="B83" s="75">
        <f>(B76-B79)/B79</f>
        <v>7.1200155622637457E-2</v>
      </c>
      <c r="C83" s="75">
        <f>(C76-C79)/C79</f>
        <v>1.1324870531735272</v>
      </c>
      <c r="D83" s="75">
        <f>(D76-D79)/D79</f>
        <v>2.1937739507244172</v>
      </c>
      <c r="E83" s="48"/>
    </row>
    <row r="84" spans="1:7" x14ac:dyDescent="0.3">
      <c r="A84" s="74" t="s">
        <v>254</v>
      </c>
      <c r="B84" s="75">
        <f>(B77-B79)/B79</f>
        <v>0.16129194778804537</v>
      </c>
      <c r="C84" s="75">
        <f>(C77-C79)/C79</f>
        <v>1.3754843964514682</v>
      </c>
      <c r="D84" s="75">
        <f>(D77-D79)/D79</f>
        <v>2.5896768451148908</v>
      </c>
      <c r="E84" s="48"/>
    </row>
    <row r="85" spans="1:7" x14ac:dyDescent="0.3">
      <c r="A85" s="7"/>
      <c r="B85" s="73"/>
      <c r="C85" s="73"/>
      <c r="D85" s="73"/>
      <c r="E85" s="48"/>
    </row>
    <row r="86" spans="1:7" x14ac:dyDescent="0.3">
      <c r="A86" s="77" t="s">
        <v>255</v>
      </c>
      <c r="B86" s="78"/>
      <c r="C86" s="78"/>
      <c r="D86" s="78"/>
      <c r="E86" s="79"/>
    </row>
    <row r="87" spans="1:7" x14ac:dyDescent="0.3">
      <c r="A87" s="80" t="s">
        <v>245</v>
      </c>
      <c r="B87" s="81" t="s">
        <v>246</v>
      </c>
      <c r="C87" s="82"/>
      <c r="D87" s="82"/>
      <c r="E87" s="83"/>
    </row>
    <row r="88" spans="1:7" ht="79.95" customHeight="1" x14ac:dyDescent="0.3">
      <c r="A88" s="85" t="s">
        <v>256</v>
      </c>
      <c r="B88" s="88" t="s">
        <v>247</v>
      </c>
      <c r="C88" s="88"/>
      <c r="D88" s="88"/>
      <c r="E88" s="88"/>
      <c r="F88" s="88"/>
      <c r="G88" s="88"/>
    </row>
    <row r="89" spans="1:7" ht="14.4" customHeight="1" x14ac:dyDescent="0.3">
      <c r="A89" s="84" t="s">
        <v>248</v>
      </c>
      <c r="B89" s="87" t="s">
        <v>249</v>
      </c>
      <c r="C89" s="87"/>
      <c r="D89" s="87"/>
      <c r="E89" s="87"/>
    </row>
    <row r="90" spans="1:7" x14ac:dyDescent="0.3">
      <c r="A90" s="72" t="s">
        <v>229</v>
      </c>
    </row>
    <row r="91" spans="1:7" x14ac:dyDescent="0.3">
      <c r="A91" s="48" t="s">
        <v>257</v>
      </c>
    </row>
  </sheetData>
  <mergeCells count="2">
    <mergeCell ref="B89:E89"/>
    <mergeCell ref="B88:G8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</vt:lpstr>
      <vt:lpstr>Ratios &amp; Valuation</vt:lpstr>
      <vt:lpstr>Valuation 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2026-02-18T12:01:12Z</dcterms:created>
  <dcterms:modified xsi:type="dcterms:W3CDTF">2026-02-20T13:16:31Z</dcterms:modified>
</cp:coreProperties>
</file>