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CACEDA84-E56C-49AC-9662-3E9797FD2D4D}" xr6:coauthVersionLast="47" xr6:coauthVersionMax="47" xr10:uidLastSave="{00000000-0000-0000-0000-000000000000}"/>
  <bookViews>
    <workbookView xWindow="0" yWindow="0" windowWidth="23040" windowHeight="12240" xr2:uid="{71E9D5E3-BE6B-4C4A-8177-3EB2E3CABA1F}"/>
  </bookViews>
  <sheets>
    <sheet name="Assumptions" sheetId="1" r:id="rId1"/>
    <sheet name="Income Statement" sheetId="2" r:id="rId2"/>
    <sheet name="Balance Sheet" sheetId="3" r:id="rId3"/>
    <sheet name="Cash Flow" sheetId="4" r:id="rId4"/>
    <sheet name="Summary &amp; Valuation" sheetId="5" r:id="rId5"/>
    <sheet name="Chart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1" i="1" l="1"/>
  <c r="F81" i="1"/>
  <c r="G81" i="1" s="1"/>
  <c r="G31" i="1"/>
  <c r="H31" i="1"/>
  <c r="I31" i="1"/>
  <c r="J31" i="1"/>
  <c r="K31" i="1"/>
  <c r="L31" i="1"/>
  <c r="M31" i="1"/>
  <c r="N31" i="1"/>
  <c r="O31" i="1"/>
  <c r="F31" i="1"/>
  <c r="H24" i="1"/>
  <c r="I24" i="1"/>
  <c r="J24" i="1" s="1"/>
  <c r="K24" i="1" s="1"/>
  <c r="L24" i="1" s="1"/>
  <c r="M24" i="1" s="1"/>
  <c r="N24" i="1" s="1"/>
  <c r="O24" i="1" s="1"/>
  <c r="G24" i="1"/>
  <c r="F24" i="1"/>
  <c r="F21" i="1"/>
  <c r="F18" i="1"/>
  <c r="G18" i="1" s="1"/>
  <c r="O30" i="1"/>
  <c r="N30" i="1"/>
  <c r="M30" i="1"/>
  <c r="L30" i="1"/>
  <c r="K30" i="1"/>
  <c r="J30" i="1"/>
  <c r="I30" i="1"/>
  <c r="H30" i="1"/>
  <c r="G30" i="1"/>
  <c r="F30" i="1"/>
  <c r="G19" i="1" l="1"/>
  <c r="G21" i="1" s="1"/>
  <c r="H18" i="1"/>
  <c r="F32" i="1"/>
  <c r="O39" i="1"/>
  <c r="N39" i="1"/>
  <c r="M39" i="1"/>
  <c r="L39" i="1"/>
  <c r="K39" i="1"/>
  <c r="J39" i="1"/>
  <c r="I39" i="1"/>
  <c r="H39" i="1"/>
  <c r="G39" i="1"/>
  <c r="F39" i="1"/>
  <c r="E39" i="1"/>
  <c r="E40" i="1" s="1"/>
  <c r="D39" i="1"/>
  <c r="D40" i="1" s="1"/>
  <c r="C39" i="1"/>
  <c r="C40" i="1" s="1"/>
  <c r="E32" i="1"/>
  <c r="D32" i="1"/>
  <c r="D33" i="1" s="1"/>
  <c r="C32" i="1"/>
  <c r="C33" i="1" s="1"/>
  <c r="F19" i="4"/>
  <c r="F18" i="4"/>
  <c r="F14" i="4"/>
  <c r="F13" i="4"/>
  <c r="E58" i="1"/>
  <c r="D47" i="1"/>
  <c r="E47" i="1"/>
  <c r="C47" i="1"/>
  <c r="F8" i="4"/>
  <c r="F7" i="4"/>
  <c r="F6" i="4"/>
  <c r="E21" i="4"/>
  <c r="E20" i="4"/>
  <c r="E19" i="4"/>
  <c r="E18" i="4"/>
  <c r="E15" i="4"/>
  <c r="E14" i="4"/>
  <c r="E13" i="4"/>
  <c r="E8" i="4"/>
  <c r="D21" i="4"/>
  <c r="D19" i="4"/>
  <c r="D18" i="4"/>
  <c r="D15" i="4"/>
  <c r="D14" i="4"/>
  <c r="D13" i="4"/>
  <c r="D8" i="4"/>
  <c r="D5" i="4"/>
  <c r="D9" i="4" s="1"/>
  <c r="C22" i="4"/>
  <c r="C21" i="4"/>
  <c r="C15" i="4"/>
  <c r="C10" i="4"/>
  <c r="C5" i="4"/>
  <c r="E25" i="3"/>
  <c r="D25" i="3"/>
  <c r="C25" i="3"/>
  <c r="E24" i="3"/>
  <c r="D24" i="3"/>
  <c r="C24" i="3"/>
  <c r="E17" i="3"/>
  <c r="E16" i="3"/>
  <c r="E14" i="3"/>
  <c r="E9" i="3"/>
  <c r="D17" i="3"/>
  <c r="D16" i="3"/>
  <c r="D14" i="3"/>
  <c r="D9" i="3"/>
  <c r="C17" i="3"/>
  <c r="C16" i="3"/>
  <c r="C14" i="3"/>
  <c r="C9" i="3"/>
  <c r="D6" i="1"/>
  <c r="E11" i="2"/>
  <c r="E12" i="2" s="1"/>
  <c r="E6" i="2"/>
  <c r="D19" i="2"/>
  <c r="D22" i="3" s="1"/>
  <c r="D17" i="2"/>
  <c r="D13" i="2"/>
  <c r="D12" i="2"/>
  <c r="D11" i="2"/>
  <c r="D6" i="2"/>
  <c r="C19" i="2"/>
  <c r="C17" i="2"/>
  <c r="C13" i="2"/>
  <c r="C12" i="2"/>
  <c r="C11" i="2"/>
  <c r="C6" i="2"/>
  <c r="C55" i="6"/>
  <c r="B7" i="6"/>
  <c r="C77" i="1"/>
  <c r="C76" i="1"/>
  <c r="D75" i="1"/>
  <c r="E75" i="1" s="1"/>
  <c r="C75" i="1"/>
  <c r="D72" i="1"/>
  <c r="D71" i="1"/>
  <c r="D70" i="1"/>
  <c r="G32" i="1" l="1"/>
  <c r="G42" i="1" s="1"/>
  <c r="H4" i="2" s="1"/>
  <c r="H19" i="1"/>
  <c r="H21" i="1" s="1"/>
  <c r="I18" i="1"/>
  <c r="F42" i="1"/>
  <c r="G4" i="2" s="1"/>
  <c r="E42" i="1"/>
  <c r="E43" i="1" s="1"/>
  <c r="C42" i="1"/>
  <c r="C43" i="1" s="1"/>
  <c r="E33" i="1"/>
  <c r="D42" i="1"/>
  <c r="D43" i="1" s="1"/>
  <c r="D10" i="4"/>
  <c r="D22" i="4" s="1"/>
  <c r="E17" i="2"/>
  <c r="E19" i="2" s="1"/>
  <c r="E13" i="2"/>
  <c r="H32" i="1" l="1"/>
  <c r="H42" i="1" s="1"/>
  <c r="I4" i="2" s="1"/>
  <c r="J18" i="1"/>
  <c r="I19" i="1"/>
  <c r="I21" i="1" s="1"/>
  <c r="I32" i="1"/>
  <c r="I42" i="1" s="1"/>
  <c r="J4" i="2" s="1"/>
  <c r="E22" i="3"/>
  <c r="E5" i="4"/>
  <c r="K18" i="1" l="1"/>
  <c r="J19" i="1"/>
  <c r="J21" i="1" s="1"/>
  <c r="J32" i="1"/>
  <c r="J42" i="1" s="1"/>
  <c r="K4" i="2" s="1"/>
  <c r="P29" i="5"/>
  <c r="O29" i="5"/>
  <c r="N29" i="5"/>
  <c r="M29" i="5"/>
  <c r="L29" i="5"/>
  <c r="P51" i="5"/>
  <c r="O51" i="5"/>
  <c r="N51" i="5"/>
  <c r="M51" i="5"/>
  <c r="L51" i="5"/>
  <c r="P9" i="5"/>
  <c r="B68" i="6" s="1"/>
  <c r="P14" i="4"/>
  <c r="P13" i="4"/>
  <c r="P6" i="4"/>
  <c r="O14" i="4"/>
  <c r="O13" i="4"/>
  <c r="O6" i="4"/>
  <c r="N14" i="4"/>
  <c r="N13" i="4"/>
  <c r="N6" i="4"/>
  <c r="M14" i="4"/>
  <c r="M13" i="4"/>
  <c r="M6" i="4"/>
  <c r="L14" i="4"/>
  <c r="L13" i="4"/>
  <c r="L6" i="4"/>
  <c r="P28" i="3"/>
  <c r="P20" i="4" s="1"/>
  <c r="O28" i="3"/>
  <c r="O20" i="4" s="1"/>
  <c r="N28" i="3"/>
  <c r="N20" i="4" s="1"/>
  <c r="M28" i="3"/>
  <c r="M20" i="4" s="1"/>
  <c r="L28" i="3"/>
  <c r="L20" i="4" s="1"/>
  <c r="P12" i="3"/>
  <c r="O12" i="3"/>
  <c r="N12" i="3"/>
  <c r="M12" i="3"/>
  <c r="L12" i="3"/>
  <c r="P5" i="3"/>
  <c r="O5" i="3"/>
  <c r="O9" i="5" s="1"/>
  <c r="B67" i="6" s="1"/>
  <c r="N5" i="3"/>
  <c r="M5" i="3"/>
  <c r="M9" i="5" s="1"/>
  <c r="L5" i="3"/>
  <c r="L9" i="5" s="1"/>
  <c r="B64" i="6" s="1"/>
  <c r="P16" i="2"/>
  <c r="O16" i="2"/>
  <c r="O7" i="4" s="1"/>
  <c r="N16" i="2"/>
  <c r="N7" i="4" s="1"/>
  <c r="M16" i="2"/>
  <c r="M7" i="4" s="1"/>
  <c r="L16" i="2"/>
  <c r="L7" i="4" s="1"/>
  <c r="L18" i="1" l="1"/>
  <c r="K19" i="1"/>
  <c r="K21" i="1" s="1"/>
  <c r="N8" i="4"/>
  <c r="M8" i="4"/>
  <c r="M19" i="4"/>
  <c r="M45" i="5" s="1"/>
  <c r="O19" i="4"/>
  <c r="O45" i="5" s="1"/>
  <c r="N19" i="4"/>
  <c r="N45" i="5" s="1"/>
  <c r="P19" i="4"/>
  <c r="P45" i="5" s="1"/>
  <c r="M19" i="5"/>
  <c r="C65" i="6" s="1"/>
  <c r="B65" i="6"/>
  <c r="N15" i="4"/>
  <c r="N43" i="5" s="1"/>
  <c r="O15" i="4"/>
  <c r="O43" i="5" s="1"/>
  <c r="M15" i="4"/>
  <c r="M43" i="5" s="1"/>
  <c r="L15" i="4"/>
  <c r="L43" i="5" s="1"/>
  <c r="P15" i="4"/>
  <c r="P43" i="5" s="1"/>
  <c r="N9" i="5"/>
  <c r="P7" i="4"/>
  <c r="P19" i="5"/>
  <c r="C68" i="6" s="1"/>
  <c r="O8" i="4"/>
  <c r="P8" i="4"/>
  <c r="K32" i="1" l="1"/>
  <c r="K42" i="1" s="1"/>
  <c r="L4" i="2" s="1"/>
  <c r="M18" i="1"/>
  <c r="L19" i="1"/>
  <c r="L21" i="1" s="1"/>
  <c r="N19" i="5"/>
  <c r="C66" i="6" s="1"/>
  <c r="B66" i="6"/>
  <c r="O19" i="5"/>
  <c r="C67" i="6" s="1"/>
  <c r="L32" i="1" l="1"/>
  <c r="L42" i="1" s="1"/>
  <c r="M4" i="2" s="1"/>
  <c r="N18" i="1"/>
  <c r="M19" i="1"/>
  <c r="M21" i="1" s="1"/>
  <c r="E95" i="5"/>
  <c r="D95" i="5"/>
  <c r="D114" i="5" s="1"/>
  <c r="C95" i="5"/>
  <c r="C94" i="5"/>
  <c r="F91" i="5"/>
  <c r="E91" i="5"/>
  <c r="D91" i="5"/>
  <c r="C91" i="5"/>
  <c r="F28" i="3"/>
  <c r="E28" i="3"/>
  <c r="D71" i="5"/>
  <c r="K51" i="5"/>
  <c r="J51" i="5"/>
  <c r="I51" i="5"/>
  <c r="H51" i="5"/>
  <c r="G51" i="5"/>
  <c r="B38" i="5"/>
  <c r="B37" i="5"/>
  <c r="G33" i="5"/>
  <c r="B39" i="5" s="1"/>
  <c r="K29" i="5"/>
  <c r="J29" i="5"/>
  <c r="I29" i="5"/>
  <c r="H29" i="5"/>
  <c r="G29" i="5"/>
  <c r="K14" i="4"/>
  <c r="J14" i="4"/>
  <c r="I14" i="4"/>
  <c r="H14" i="4"/>
  <c r="H15" i="4" s="1"/>
  <c r="H43" i="5" s="1"/>
  <c r="G14" i="4"/>
  <c r="K13" i="4"/>
  <c r="J13" i="4"/>
  <c r="I13" i="4"/>
  <c r="H13" i="4"/>
  <c r="G13" i="4"/>
  <c r="K6" i="4"/>
  <c r="J6" i="4"/>
  <c r="I6" i="4"/>
  <c r="H6" i="4"/>
  <c r="G6" i="4"/>
  <c r="F14" i="3"/>
  <c r="F25" i="3" s="1"/>
  <c r="F9" i="3"/>
  <c r="F94" i="5" s="1"/>
  <c r="K28" i="3"/>
  <c r="K20" i="4" s="1"/>
  <c r="J28" i="3"/>
  <c r="J20" i="4" s="1"/>
  <c r="I28" i="3"/>
  <c r="I20" i="4" s="1"/>
  <c r="H28" i="3"/>
  <c r="H20" i="4" s="1"/>
  <c r="G28" i="3"/>
  <c r="G20" i="4" s="1"/>
  <c r="K12" i="3"/>
  <c r="L19" i="4" s="1"/>
  <c r="L45" i="5" s="1"/>
  <c r="J12" i="3"/>
  <c r="I12" i="3"/>
  <c r="H12" i="3"/>
  <c r="G12" i="3"/>
  <c r="G19" i="4" s="1"/>
  <c r="G45" i="5" s="1"/>
  <c r="K5" i="3"/>
  <c r="J5" i="3"/>
  <c r="J9" i="5" s="1"/>
  <c r="B62" i="6" s="1"/>
  <c r="I5" i="3"/>
  <c r="I9" i="5" s="1"/>
  <c r="B61" i="6" s="1"/>
  <c r="H5" i="3"/>
  <c r="G5" i="3"/>
  <c r="G8" i="4" s="1"/>
  <c r="K16" i="2"/>
  <c r="K7" i="4" s="1"/>
  <c r="J16" i="2"/>
  <c r="J7" i="4" s="1"/>
  <c r="I16" i="2"/>
  <c r="I7" i="4" s="1"/>
  <c r="H16" i="2"/>
  <c r="H7" i="4" s="1"/>
  <c r="G16" i="2"/>
  <c r="G7" i="4" s="1"/>
  <c r="G14" i="2"/>
  <c r="G91" i="5" s="1"/>
  <c r="G10" i="2"/>
  <c r="E8" i="1"/>
  <c r="F9" i="5"/>
  <c r="B58" i="6" s="1"/>
  <c r="E9" i="5"/>
  <c r="B57" i="6" s="1"/>
  <c r="D9" i="5"/>
  <c r="B56" i="6" s="1"/>
  <c r="C9" i="5"/>
  <c r="B55" i="6" s="1"/>
  <c r="F4" i="5"/>
  <c r="C4" i="5"/>
  <c r="E114" i="5"/>
  <c r="C114" i="5"/>
  <c r="F15" i="4"/>
  <c r="E94" i="5"/>
  <c r="D19" i="3"/>
  <c r="F11" i="2"/>
  <c r="F12" i="2" s="1"/>
  <c r="D4" i="6"/>
  <c r="F6" i="2"/>
  <c r="B6" i="6"/>
  <c r="B5" i="6"/>
  <c r="B4" i="6"/>
  <c r="E12" i="1"/>
  <c r="D12" i="1"/>
  <c r="D8" i="1"/>
  <c r="E6" i="1"/>
  <c r="M32" i="1" l="1"/>
  <c r="M42" i="1" s="1"/>
  <c r="N4" i="2" s="1"/>
  <c r="O18" i="1"/>
  <c r="O19" i="1" s="1"/>
  <c r="O21" i="1" s="1"/>
  <c r="N19" i="1"/>
  <c r="N21" i="1" s="1"/>
  <c r="J15" i="4"/>
  <c r="J43" i="5" s="1"/>
  <c r="I15" i="4"/>
  <c r="I43" i="5" s="1"/>
  <c r="K15" i="4"/>
  <c r="K43" i="5" s="1"/>
  <c r="F24" i="3"/>
  <c r="G15" i="4"/>
  <c r="G43" i="5" s="1"/>
  <c r="D7" i="6"/>
  <c r="F5" i="5"/>
  <c r="F14" i="5" s="1"/>
  <c r="F17" i="2"/>
  <c r="F13" i="2"/>
  <c r="B24" i="6" s="1"/>
  <c r="E19" i="3"/>
  <c r="F19" i="5"/>
  <c r="C58" i="6" s="1"/>
  <c r="E19" i="5"/>
  <c r="C57" i="6" s="1"/>
  <c r="D94" i="5"/>
  <c r="C19" i="3"/>
  <c r="D19" i="5"/>
  <c r="C56" i="6" s="1"/>
  <c r="E4" i="5"/>
  <c r="F12" i="5" s="1"/>
  <c r="D6" i="6"/>
  <c r="E5" i="5"/>
  <c r="E14" i="5" s="1"/>
  <c r="B21" i="6"/>
  <c r="C5" i="5"/>
  <c r="C14" i="5" s="1"/>
  <c r="D4" i="5"/>
  <c r="D12" i="5" s="1"/>
  <c r="K9" i="5"/>
  <c r="L8" i="4"/>
  <c r="K19" i="4"/>
  <c r="K45" i="5" s="1"/>
  <c r="J8" i="4"/>
  <c r="J19" i="4"/>
  <c r="J45" i="5" s="1"/>
  <c r="H8" i="4"/>
  <c r="H19" i="4"/>
  <c r="H45" i="5" s="1"/>
  <c r="H9" i="5"/>
  <c r="I19" i="4"/>
  <c r="I45" i="5" s="1"/>
  <c r="K8" i="4"/>
  <c r="I8" i="4"/>
  <c r="F95" i="5"/>
  <c r="F16" i="3"/>
  <c r="F17" i="3" s="1"/>
  <c r="F19" i="3" s="1"/>
  <c r="G6" i="2"/>
  <c r="G9" i="2"/>
  <c r="G11" i="2" s="1"/>
  <c r="J19" i="5"/>
  <c r="C62" i="6" s="1"/>
  <c r="G9" i="5"/>
  <c r="B59" i="6" s="1"/>
  <c r="F11" i="1"/>
  <c r="N32" i="1" l="1"/>
  <c r="N42" i="1" s="1"/>
  <c r="O4" i="2" s="1"/>
  <c r="O32" i="1"/>
  <c r="O42" i="1" s="1"/>
  <c r="P4" i="2" s="1"/>
  <c r="F40" i="1"/>
  <c r="F33" i="1"/>
  <c r="F43" i="1"/>
  <c r="I19" i="5"/>
  <c r="C61" i="6" s="1"/>
  <c r="B60" i="6"/>
  <c r="L19" i="5"/>
  <c r="C64" i="6" s="1"/>
  <c r="B63" i="6"/>
  <c r="K19" i="5"/>
  <c r="C63" i="6" s="1"/>
  <c r="F5" i="1"/>
  <c r="B8" i="6"/>
  <c r="F92" i="5"/>
  <c r="F93" i="5" s="1"/>
  <c r="F100" i="5" s="1"/>
  <c r="F104" i="5" s="1"/>
  <c r="F90" i="5"/>
  <c r="F98" i="5" s="1"/>
  <c r="B23" i="6"/>
  <c r="E90" i="5"/>
  <c r="E98" i="5" s="1"/>
  <c r="C90" i="5"/>
  <c r="C98" i="5" s="1"/>
  <c r="C92" i="5"/>
  <c r="D5" i="6"/>
  <c r="D5" i="5"/>
  <c r="D14" i="5" s="1"/>
  <c r="B22" i="6"/>
  <c r="E12" i="5"/>
  <c r="G4" i="5"/>
  <c r="G12" i="5" s="1"/>
  <c r="F114" i="5"/>
  <c r="H9" i="2"/>
  <c r="H10" i="2"/>
  <c r="H6" i="2"/>
  <c r="B9" i="6" s="1"/>
  <c r="G12" i="2"/>
  <c r="G19" i="5"/>
  <c r="C59" i="6" s="1"/>
  <c r="H19" i="5"/>
  <c r="C60" i="6" s="1"/>
  <c r="G11" i="1"/>
  <c r="G40" i="1" l="1"/>
  <c r="G33" i="1"/>
  <c r="G43" i="1"/>
  <c r="C71" i="1"/>
  <c r="D8" i="6"/>
  <c r="E71" i="1"/>
  <c r="F6" i="1"/>
  <c r="C78" i="1" s="1"/>
  <c r="C70" i="1"/>
  <c r="E70" i="1"/>
  <c r="F99" i="5"/>
  <c r="F103" i="5" s="1"/>
  <c r="F113" i="5" s="1"/>
  <c r="F116" i="5" s="1"/>
  <c r="F19" i="2"/>
  <c r="E92" i="5"/>
  <c r="E93" i="5" s="1"/>
  <c r="E100" i="5" s="1"/>
  <c r="E104" i="5" s="1"/>
  <c r="C93" i="5"/>
  <c r="C100" i="5" s="1"/>
  <c r="C104" i="5" s="1"/>
  <c r="D92" i="5"/>
  <c r="D90" i="5"/>
  <c r="D98" i="5" s="1"/>
  <c r="G13" i="2"/>
  <c r="G17" i="2"/>
  <c r="G90" i="5" s="1"/>
  <c r="G98" i="5" s="1"/>
  <c r="H11" i="2"/>
  <c r="H12" i="2" s="1"/>
  <c r="D9" i="6" s="1"/>
  <c r="I9" i="2"/>
  <c r="I10" i="2"/>
  <c r="I6" i="2"/>
  <c r="B10" i="6" s="1"/>
  <c r="G5" i="5"/>
  <c r="G14" i="5" s="1"/>
  <c r="H11" i="1"/>
  <c r="H4" i="5"/>
  <c r="H12" i="5" s="1"/>
  <c r="G5" i="1"/>
  <c r="G6" i="1" s="1"/>
  <c r="H40" i="1" l="1"/>
  <c r="H33" i="1"/>
  <c r="H43" i="1"/>
  <c r="B25" i="6"/>
  <c r="C73" i="1"/>
  <c r="F22" i="3"/>
  <c r="C7" i="6"/>
  <c r="F6" i="5"/>
  <c r="F15" i="5" s="1"/>
  <c r="F5" i="4"/>
  <c r="F23" i="3"/>
  <c r="F17" i="5" s="1"/>
  <c r="F22" i="2"/>
  <c r="C24" i="6" s="1"/>
  <c r="F23" i="2"/>
  <c r="F7" i="5" s="1"/>
  <c r="B41" i="6" s="1"/>
  <c r="F105" i="5"/>
  <c r="E99" i="5"/>
  <c r="E103" i="5" s="1"/>
  <c r="E113" i="5" s="1"/>
  <c r="E116" i="5" s="1"/>
  <c r="C6" i="6"/>
  <c r="E23" i="3"/>
  <c r="E17" i="5" s="1"/>
  <c r="E23" i="2"/>
  <c r="E7" i="5" s="1"/>
  <c r="B40" i="6" s="1"/>
  <c r="F24" i="2"/>
  <c r="C99" i="5"/>
  <c r="C103" i="5" s="1"/>
  <c r="C105" i="5" s="1"/>
  <c r="C4" i="6"/>
  <c r="C22" i="2"/>
  <c r="C21" i="6" s="1"/>
  <c r="C6" i="5"/>
  <c r="C15" i="5" s="1"/>
  <c r="C23" i="3"/>
  <c r="C17" i="5" s="1"/>
  <c r="C22" i="3"/>
  <c r="C16" i="5" s="1"/>
  <c r="D21" i="6" s="1"/>
  <c r="C23" i="2"/>
  <c r="C7" i="5" s="1"/>
  <c r="B38" i="6" s="1"/>
  <c r="D93" i="5"/>
  <c r="D100" i="5" s="1"/>
  <c r="D104" i="5" s="1"/>
  <c r="I11" i="2"/>
  <c r="I12" i="2" s="1"/>
  <c r="D10" i="6" s="1"/>
  <c r="H13" i="2"/>
  <c r="B26" i="6" s="1"/>
  <c r="J9" i="2"/>
  <c r="J6" i="2"/>
  <c r="B11" i="6" s="1"/>
  <c r="J10" i="2"/>
  <c r="G18" i="2"/>
  <c r="H5" i="5"/>
  <c r="H14" i="5" s="1"/>
  <c r="I11" i="1"/>
  <c r="I4" i="5"/>
  <c r="I12" i="5" s="1"/>
  <c r="H5" i="1"/>
  <c r="H6" i="1" s="1"/>
  <c r="I40" i="1" l="1"/>
  <c r="I33" i="1"/>
  <c r="I43" i="1"/>
  <c r="F107" i="5"/>
  <c r="F115" i="5"/>
  <c r="C113" i="5"/>
  <c r="C116" i="5" s="1"/>
  <c r="E22" i="2"/>
  <c r="C23" i="6" s="1"/>
  <c r="E6" i="5"/>
  <c r="E105" i="5"/>
  <c r="E107" i="5" s="1"/>
  <c r="F13" i="5"/>
  <c r="E15" i="5"/>
  <c r="D99" i="5"/>
  <c r="D103" i="5" s="1"/>
  <c r="D113" i="5" s="1"/>
  <c r="D116" i="5" s="1"/>
  <c r="B80" i="6"/>
  <c r="C20" i="5"/>
  <c r="C107" i="5"/>
  <c r="C115" i="5"/>
  <c r="C5" i="6"/>
  <c r="D6" i="5"/>
  <c r="E24" i="2"/>
  <c r="D22" i="2"/>
  <c r="C22" i="6" s="1"/>
  <c r="D23" i="3"/>
  <c r="D17" i="5" s="1"/>
  <c r="D24" i="2"/>
  <c r="D23" i="2"/>
  <c r="D7" i="5" s="1"/>
  <c r="B39" i="6" s="1"/>
  <c r="K11" i="1"/>
  <c r="L9" i="2"/>
  <c r="L10" i="2"/>
  <c r="L6" i="2"/>
  <c r="B13" i="6" s="1"/>
  <c r="G19" i="2"/>
  <c r="G5" i="4" s="1"/>
  <c r="G92" i="5"/>
  <c r="G93" i="5" s="1"/>
  <c r="K9" i="2"/>
  <c r="K6" i="2"/>
  <c r="B12" i="6" s="1"/>
  <c r="K10" i="2"/>
  <c r="J11" i="2"/>
  <c r="J12" i="2" s="1"/>
  <c r="D11" i="6" s="1"/>
  <c r="I13" i="2"/>
  <c r="B27" i="6" s="1"/>
  <c r="I5" i="5"/>
  <c r="I14" i="5" s="1"/>
  <c r="I5" i="1"/>
  <c r="I6" i="1" s="1"/>
  <c r="J4" i="5"/>
  <c r="J12" i="5" s="1"/>
  <c r="J11" i="1"/>
  <c r="G22" i="2" l="1"/>
  <c r="C74" i="1" s="1"/>
  <c r="G23" i="2"/>
  <c r="G7" i="5" s="1"/>
  <c r="B42" i="6" s="1"/>
  <c r="G24" i="2"/>
  <c r="J33" i="1"/>
  <c r="J40" i="1"/>
  <c r="J43" i="1"/>
  <c r="K40" i="1"/>
  <c r="K33" i="1"/>
  <c r="K43" i="1"/>
  <c r="F7" i="1"/>
  <c r="E72" i="1" s="1"/>
  <c r="G13" i="3"/>
  <c r="G14" i="3" s="1"/>
  <c r="G15" i="3" s="1"/>
  <c r="G49" i="1" s="1"/>
  <c r="G16" i="3"/>
  <c r="G9" i="4" s="1"/>
  <c r="G10" i="4" s="1"/>
  <c r="C8" i="6"/>
  <c r="F8" i="1"/>
  <c r="C79" i="1" s="1"/>
  <c r="G6" i="5"/>
  <c r="G13" i="5" s="1"/>
  <c r="D105" i="5"/>
  <c r="D107" i="5" s="1"/>
  <c r="E115" i="5"/>
  <c r="B81" i="6"/>
  <c r="D20" i="5"/>
  <c r="D15" i="5"/>
  <c r="E13" i="5"/>
  <c r="D13" i="5"/>
  <c r="L4" i="5"/>
  <c r="K5" i="1"/>
  <c r="L11" i="2"/>
  <c r="L12" i="2" s="1"/>
  <c r="D13" i="6" s="1"/>
  <c r="M9" i="2"/>
  <c r="L11" i="1"/>
  <c r="M6" i="2"/>
  <c r="B14" i="6" s="1"/>
  <c r="M10" i="2"/>
  <c r="K11" i="2"/>
  <c r="K12" i="2" s="1"/>
  <c r="D12" i="6" s="1"/>
  <c r="G100" i="5"/>
  <c r="G99" i="5"/>
  <c r="J13" i="2"/>
  <c r="B28" i="6" s="1"/>
  <c r="J5" i="5"/>
  <c r="J14" i="5" s="1"/>
  <c r="J5" i="1"/>
  <c r="J6" i="1" s="1"/>
  <c r="K4" i="5"/>
  <c r="K12" i="5" s="1"/>
  <c r="C25" i="6" l="1"/>
  <c r="C72" i="1"/>
  <c r="G15" i="5"/>
  <c r="L43" i="1"/>
  <c r="L33" i="1"/>
  <c r="L40" i="1"/>
  <c r="B84" i="6"/>
  <c r="G42" i="5"/>
  <c r="D115" i="5"/>
  <c r="L5" i="5"/>
  <c r="L14" i="5" s="1"/>
  <c r="L13" i="2"/>
  <c r="B30" i="6" s="1"/>
  <c r="M11" i="2"/>
  <c r="M12" i="2" s="1"/>
  <c r="D14" i="6" s="1"/>
  <c r="M4" i="5"/>
  <c r="M12" i="5" s="1"/>
  <c r="L5" i="1"/>
  <c r="L6" i="1" s="1"/>
  <c r="N10" i="2"/>
  <c r="N9" i="2"/>
  <c r="M11" i="1"/>
  <c r="N6" i="2"/>
  <c r="B15" i="6" s="1"/>
  <c r="K6" i="1"/>
  <c r="L12" i="5"/>
  <c r="K13" i="2"/>
  <c r="B29" i="6" s="1"/>
  <c r="G25" i="3"/>
  <c r="G8" i="5" s="1"/>
  <c r="G22" i="3"/>
  <c r="G16" i="5" s="1"/>
  <c r="D25" i="6" s="1"/>
  <c r="K5" i="5"/>
  <c r="K14" i="5" s="1"/>
  <c r="M40" i="1" l="1"/>
  <c r="M33" i="1"/>
  <c r="M43" i="1"/>
  <c r="B27" i="5"/>
  <c r="C42" i="6"/>
  <c r="N11" i="2"/>
  <c r="N12" i="2" s="1"/>
  <c r="D15" i="6" s="1"/>
  <c r="M5" i="1"/>
  <c r="M6" i="1" s="1"/>
  <c r="N4" i="5"/>
  <c r="N12" i="5" s="1"/>
  <c r="O10" i="2"/>
  <c r="O9" i="2"/>
  <c r="N11" i="1"/>
  <c r="O6" i="2"/>
  <c r="B16" i="6" s="1"/>
  <c r="M5" i="5"/>
  <c r="M14" i="5" s="1"/>
  <c r="M13" i="2"/>
  <c r="B31" i="6" s="1"/>
  <c r="N40" i="1" l="1"/>
  <c r="N43" i="1"/>
  <c r="N33" i="1"/>
  <c r="O11" i="2"/>
  <c r="P10" i="2"/>
  <c r="O11" i="1"/>
  <c r="P9" i="2"/>
  <c r="P6" i="2"/>
  <c r="B17" i="6" s="1"/>
  <c r="O4" i="5"/>
  <c r="O12" i="5" s="1"/>
  <c r="O12" i="2"/>
  <c r="D16" i="6" s="1"/>
  <c r="N5" i="1"/>
  <c r="N6" i="1" s="1"/>
  <c r="N13" i="2"/>
  <c r="B32" i="6" s="1"/>
  <c r="N5" i="5"/>
  <c r="N14" i="5" s="1"/>
  <c r="C8" i="5"/>
  <c r="C38" i="6" s="1"/>
  <c r="D8" i="5"/>
  <c r="C39" i="6" s="1"/>
  <c r="D16" i="5"/>
  <c r="D22" i="6" s="1"/>
  <c r="E16" i="5"/>
  <c r="D23" i="6" s="1"/>
  <c r="E8" i="5"/>
  <c r="C40" i="6" s="1"/>
  <c r="F16" i="5"/>
  <c r="D24" i="6" s="1"/>
  <c r="F8" i="5"/>
  <c r="C18" i="5"/>
  <c r="D18" i="5"/>
  <c r="E18" i="5"/>
  <c r="F18" i="5"/>
  <c r="P11" i="2" l="1"/>
  <c r="P12" i="2" s="1"/>
  <c r="D17" i="6" s="1"/>
  <c r="O40" i="1"/>
  <c r="O33" i="1"/>
  <c r="O43" i="1"/>
  <c r="G28" i="5"/>
  <c r="G30" i="5" s="1"/>
  <c r="C41" i="6"/>
  <c r="P4" i="5"/>
  <c r="P12" i="5" s="1"/>
  <c r="O5" i="1"/>
  <c r="O6" i="1" s="1"/>
  <c r="O13" i="2"/>
  <c r="B33" i="6" s="1"/>
  <c r="O5" i="5"/>
  <c r="O14" i="5" s="1"/>
  <c r="P13" i="2" l="1"/>
  <c r="B34" i="6" s="1"/>
  <c r="P5" i="5"/>
  <c r="P14" i="5" s="1"/>
  <c r="G20" i="5" l="1"/>
  <c r="G95" i="5"/>
  <c r="G114" i="5" l="1"/>
  <c r="G104" i="5"/>
  <c r="G18" i="4"/>
  <c r="G24" i="3"/>
  <c r="G17" i="3"/>
  <c r="G4" i="3" l="1"/>
  <c r="G9" i="3" s="1"/>
  <c r="G21" i="4"/>
  <c r="G22" i="4" s="1"/>
  <c r="G44" i="5"/>
  <c r="G46" i="5" s="1"/>
  <c r="G18" i="5"/>
  <c r="G94" i="5" l="1"/>
  <c r="G103" i="5" s="1"/>
  <c r="G23" i="3"/>
  <c r="G17" i="5" s="1"/>
  <c r="G19" i="3"/>
  <c r="G52" i="5"/>
  <c r="G47" i="5"/>
  <c r="G113" i="5" l="1"/>
  <c r="G116" i="5" s="1"/>
  <c r="G105" i="5"/>
  <c r="F20" i="4"/>
  <c r="F21" i="4"/>
  <c r="G107" i="5" l="1"/>
  <c r="G115" i="5"/>
  <c r="F9" i="4"/>
  <c r="F10" i="4" s="1"/>
  <c r="E9" i="4"/>
  <c r="E10" i="4" s="1"/>
  <c r="E22" i="4" s="1"/>
  <c r="B83" i="6" l="1"/>
  <c r="F20" i="5"/>
  <c r="F22" i="4"/>
  <c r="B82" i="6"/>
  <c r="E20" i="5"/>
  <c r="H14" i="2" l="1"/>
  <c r="H91" i="5" s="1"/>
  <c r="H17" i="2" l="1"/>
  <c r="H18" i="2" l="1"/>
  <c r="H90" i="5"/>
  <c r="H98" i="5" s="1"/>
  <c r="H19" i="2" l="1"/>
  <c r="H16" i="3" s="1"/>
  <c r="H92" i="5"/>
  <c r="H93" i="5" s="1"/>
  <c r="H9" i="4" l="1"/>
  <c r="H100" i="5"/>
  <c r="H99" i="5"/>
  <c r="C9" i="6"/>
  <c r="H5" i="4"/>
  <c r="H6" i="5"/>
  <c r="H23" i="2"/>
  <c r="H7" i="5" s="1"/>
  <c r="H22" i="2"/>
  <c r="C26" i="6" s="1"/>
  <c r="G7" i="1"/>
  <c r="G8" i="1" s="1"/>
  <c r="H24" i="2"/>
  <c r="H13" i="3"/>
  <c r="H14" i="3" s="1"/>
  <c r="H25" i="3" s="1"/>
  <c r="H8" i="5" s="1"/>
  <c r="H10" i="4" l="1"/>
  <c r="H22" i="3"/>
  <c r="H16" i="5" s="1"/>
  <c r="D26" i="6" s="1"/>
  <c r="H15" i="3"/>
  <c r="B43" i="6"/>
  <c r="B57" i="5"/>
  <c r="B59" i="5" s="1"/>
  <c r="B69" i="5" s="1"/>
  <c r="H13" i="5"/>
  <c r="H15" i="5"/>
  <c r="H42" i="5"/>
  <c r="H20" i="5"/>
  <c r="B85" i="6"/>
  <c r="C43" i="6"/>
  <c r="B61" i="5"/>
  <c r="B63" i="5" s="1"/>
  <c r="B70" i="5" s="1"/>
  <c r="H28" i="5" l="1"/>
  <c r="H30" i="5" s="1"/>
  <c r="H17" i="3"/>
  <c r="H4" i="3" s="1"/>
  <c r="H9" i="3" s="1"/>
  <c r="H49" i="1"/>
  <c r="H18" i="4"/>
  <c r="H44" i="5" s="1"/>
  <c r="H46" i="5" s="1"/>
  <c r="H24" i="3"/>
  <c r="H18" i="5" s="1"/>
  <c r="H95" i="5"/>
  <c r="H114" i="5" s="1"/>
  <c r="E69" i="5"/>
  <c r="B82" i="5"/>
  <c r="H21" i="4"/>
  <c r="H22" i="4" s="1"/>
  <c r="H27" i="5" s="1"/>
  <c r="E70" i="5"/>
  <c r="B83" i="5"/>
  <c r="H104" i="5" l="1"/>
  <c r="H19" i="3"/>
  <c r="H23" i="3"/>
  <c r="H17" i="5" s="1"/>
  <c r="H94" i="5"/>
  <c r="H103" i="5" s="1"/>
  <c r="C82" i="5"/>
  <c r="D82" i="5" s="1"/>
  <c r="B74" i="6"/>
  <c r="C83" i="5"/>
  <c r="D83" i="5" s="1"/>
  <c r="B75" i="6"/>
  <c r="H52" i="5"/>
  <c r="H47" i="5"/>
  <c r="I14" i="2"/>
  <c r="I91" i="5" s="1"/>
  <c r="H105" i="5" l="1"/>
  <c r="H113" i="5"/>
  <c r="H116" i="5" s="1"/>
  <c r="I17" i="2"/>
  <c r="I18" i="2" s="1"/>
  <c r="I90" i="5" l="1"/>
  <c r="I98" i="5" s="1"/>
  <c r="H115" i="5"/>
  <c r="H107" i="5"/>
  <c r="I92" i="5"/>
  <c r="I19" i="2"/>
  <c r="I16" i="3" s="1"/>
  <c r="I93" i="5" l="1"/>
  <c r="I100" i="5" s="1"/>
  <c r="I9" i="4"/>
  <c r="H7" i="1"/>
  <c r="H8" i="1" s="1"/>
  <c r="I22" i="2"/>
  <c r="C27" i="6" s="1"/>
  <c r="I5" i="4"/>
  <c r="I13" i="3"/>
  <c r="I24" i="2"/>
  <c r="I23" i="2"/>
  <c r="I7" i="5" s="1"/>
  <c r="I6" i="5"/>
  <c r="C10" i="6"/>
  <c r="I10" i="4" l="1"/>
  <c r="I99" i="5"/>
  <c r="B44" i="6"/>
  <c r="E57" i="5"/>
  <c r="E59" i="5" s="1"/>
  <c r="I13" i="5"/>
  <c r="I15" i="5"/>
  <c r="I14" i="3"/>
  <c r="B86" i="6"/>
  <c r="I20" i="5"/>
  <c r="I42" i="5"/>
  <c r="I25" i="3" l="1"/>
  <c r="I8" i="5" s="1"/>
  <c r="I15" i="3"/>
  <c r="I49" i="1" s="1"/>
  <c r="I22" i="3"/>
  <c r="I16" i="5" s="1"/>
  <c r="I18" i="4" l="1"/>
  <c r="I95" i="5"/>
  <c r="I24" i="3"/>
  <c r="I18" i="5" s="1"/>
  <c r="I17" i="3"/>
  <c r="I4" i="3" s="1"/>
  <c r="I9" i="3" s="1"/>
  <c r="D27" i="6"/>
  <c r="I28" i="5"/>
  <c r="I30" i="5" s="1"/>
  <c r="C44" i="6"/>
  <c r="D61" i="5"/>
  <c r="D63" i="5" s="1"/>
  <c r="I94" i="5" l="1"/>
  <c r="I103" i="5" s="1"/>
  <c r="I19" i="3"/>
  <c r="I23" i="3"/>
  <c r="I17" i="5" s="1"/>
  <c r="I114" i="5"/>
  <c r="I104" i="5"/>
  <c r="I44" i="5"/>
  <c r="I46" i="5" s="1"/>
  <c r="I21" i="4"/>
  <c r="I22" i="4" s="1"/>
  <c r="I27" i="5" s="1"/>
  <c r="I52" i="5" l="1"/>
  <c r="I47" i="5"/>
  <c r="I105" i="5"/>
  <c r="I113" i="5"/>
  <c r="I116" i="5" s="1"/>
  <c r="I115" i="5" l="1"/>
  <c r="I107" i="5"/>
  <c r="J14" i="2"/>
  <c r="J91" i="5" s="1"/>
  <c r="J17" i="2" l="1"/>
  <c r="J18" i="2" s="1"/>
  <c r="J92" i="5" s="1"/>
  <c r="J90" i="5" l="1"/>
  <c r="J98" i="5" s="1"/>
  <c r="J19" i="2"/>
  <c r="J6" i="5" s="1"/>
  <c r="J24" i="2"/>
  <c r="I7" i="1"/>
  <c r="I8" i="1" s="1"/>
  <c r="J22" i="2"/>
  <c r="C28" i="6" s="1"/>
  <c r="C11" i="6" l="1"/>
  <c r="J5" i="4"/>
  <c r="J13" i="3"/>
  <c r="J14" i="3" s="1"/>
  <c r="J93" i="5"/>
  <c r="J100" i="5" s="1"/>
  <c r="J23" i="2"/>
  <c r="J7" i="5" s="1"/>
  <c r="J16" i="3"/>
  <c r="J9" i="4" s="1"/>
  <c r="J10" i="4" s="1"/>
  <c r="J15" i="5"/>
  <c r="J13" i="5"/>
  <c r="J25" i="3"/>
  <c r="J8" i="5" s="1"/>
  <c r="J15" i="3"/>
  <c r="J49" i="1" s="1"/>
  <c r="J22" i="3"/>
  <c r="J16" i="5" s="1"/>
  <c r="J99" i="5"/>
  <c r="H57" i="5" l="1"/>
  <c r="H59" i="5" s="1"/>
  <c r="B45" i="6"/>
  <c r="J42" i="5"/>
  <c r="J20" i="5"/>
  <c r="B87" i="6"/>
  <c r="J28" i="5"/>
  <c r="J30" i="5" s="1"/>
  <c r="D28" i="6"/>
  <c r="J24" i="3"/>
  <c r="J18" i="5" s="1"/>
  <c r="J95" i="5"/>
  <c r="J18" i="4"/>
  <c r="E61" i="5"/>
  <c r="E63" i="5" s="1"/>
  <c r="C45" i="6"/>
  <c r="J17" i="3"/>
  <c r="J4" i="3" s="1"/>
  <c r="J9" i="3" s="1"/>
  <c r="J19" i="3" l="1"/>
  <c r="J94" i="5"/>
  <c r="J103" i="5" s="1"/>
  <c r="J23" i="3"/>
  <c r="J17" i="5" s="1"/>
  <c r="J114" i="5"/>
  <c r="J104" i="5"/>
  <c r="J21" i="4"/>
  <c r="J22" i="4" s="1"/>
  <c r="J27" i="5" s="1"/>
  <c r="J44" i="5"/>
  <c r="J46" i="5" s="1"/>
  <c r="J105" i="5" l="1"/>
  <c r="J113" i="5"/>
  <c r="J116" i="5" s="1"/>
  <c r="J52" i="5"/>
  <c r="J47" i="5"/>
  <c r="J115" i="5" l="1"/>
  <c r="J107" i="5"/>
  <c r="K14" i="2"/>
  <c r="K91" i="5" s="1"/>
  <c r="K17" i="2" l="1"/>
  <c r="K90" i="5" s="1"/>
  <c r="K98" i="5" s="1"/>
  <c r="K18" i="2" l="1"/>
  <c r="K92" i="5" s="1"/>
  <c r="K93" i="5" s="1"/>
  <c r="K19" i="2" l="1"/>
  <c r="K16" i="3" s="1"/>
  <c r="K9" i="4" s="1"/>
  <c r="K99" i="5"/>
  <c r="K100" i="5"/>
  <c r="J7" i="1" l="1"/>
  <c r="J8" i="1" s="1"/>
  <c r="K24" i="2"/>
  <c r="K5" i="4"/>
  <c r="K10" i="4" s="1"/>
  <c r="B88" i="6" s="1"/>
  <c r="K22" i="2"/>
  <c r="C29" i="6" s="1"/>
  <c r="K6" i="5"/>
  <c r="K13" i="3"/>
  <c r="K14" i="3" s="1"/>
  <c r="C12" i="6"/>
  <c r="K23" i="2"/>
  <c r="K7" i="5" s="1"/>
  <c r="B46" i="6" s="1"/>
  <c r="K15" i="5"/>
  <c r="K13" i="5"/>
  <c r="K42" i="5" l="1"/>
  <c r="K20" i="5"/>
  <c r="K25" i="3"/>
  <c r="K8" i="5" s="1"/>
  <c r="C46" i="6" s="1"/>
  <c r="K15" i="3"/>
  <c r="K49" i="1" s="1"/>
  <c r="K22" i="3"/>
  <c r="K16" i="5" s="1"/>
  <c r="D29" i="6" l="1"/>
  <c r="K28" i="5"/>
  <c r="K30" i="5" s="1"/>
  <c r="K95" i="5"/>
  <c r="K24" i="3"/>
  <c r="K18" i="5" s="1"/>
  <c r="K18" i="4"/>
  <c r="K17" i="3"/>
  <c r="K4" i="3" s="1"/>
  <c r="K9" i="3" s="1"/>
  <c r="K19" i="3" l="1"/>
  <c r="K94" i="5"/>
  <c r="K103" i="5" s="1"/>
  <c r="K23" i="3"/>
  <c r="K17" i="5" s="1"/>
  <c r="K21" i="4"/>
  <c r="K22" i="4" s="1"/>
  <c r="K27" i="5" s="1"/>
  <c r="K44" i="5"/>
  <c r="K46" i="5" s="1"/>
  <c r="K114" i="5"/>
  <c r="K104" i="5"/>
  <c r="K52" i="5" l="1"/>
  <c r="K47" i="5"/>
  <c r="K113" i="5"/>
  <c r="K116" i="5" s="1"/>
  <c r="K105" i="5"/>
  <c r="K107" i="5" l="1"/>
  <c r="K115" i="5"/>
  <c r="L14" i="2"/>
  <c r="L91" i="5" s="1"/>
  <c r="L17" i="2" l="1"/>
  <c r="L18" i="2" s="1"/>
  <c r="L19" i="2" s="1"/>
  <c r="L16" i="3" s="1"/>
  <c r="L9" i="4" s="1"/>
  <c r="L90" i="5" l="1"/>
  <c r="L98" i="5" s="1"/>
  <c r="L92" i="5"/>
  <c r="L22" i="2"/>
  <c r="C30" i="6" s="1"/>
  <c r="L24" i="2"/>
  <c r="K7" i="1"/>
  <c r="K8" i="1" s="1"/>
  <c r="L6" i="5"/>
  <c r="C13" i="6"/>
  <c r="L13" i="3"/>
  <c r="L5" i="4"/>
  <c r="L10" i="4" s="1"/>
  <c r="L23" i="2"/>
  <c r="L7" i="5" s="1"/>
  <c r="B47" i="6" s="1"/>
  <c r="L93" i="5" l="1"/>
  <c r="L99" i="5" s="1"/>
  <c r="L42" i="5"/>
  <c r="L20" i="5"/>
  <c r="B89" i="6"/>
  <c r="L14" i="3"/>
  <c r="L13" i="5"/>
  <c r="L15" i="5"/>
  <c r="L100" i="5" l="1"/>
  <c r="L25" i="3"/>
  <c r="L8" i="5" s="1"/>
  <c r="C47" i="6" s="1"/>
  <c r="L15" i="3"/>
  <c r="L49" i="1" s="1"/>
  <c r="L22" i="3"/>
  <c r="L16" i="5" s="1"/>
  <c r="L28" i="5" l="1"/>
  <c r="L30" i="5" s="1"/>
  <c r="D30" i="6"/>
  <c r="L24" i="3"/>
  <c r="L18" i="5" s="1"/>
  <c r="L18" i="4"/>
  <c r="L95" i="5"/>
  <c r="L17" i="3"/>
  <c r="L4" i="3" s="1"/>
  <c r="L9" i="3" s="1"/>
  <c r="L44" i="5" l="1"/>
  <c r="L46" i="5" s="1"/>
  <c r="L21" i="4"/>
  <c r="L22" i="4" s="1"/>
  <c r="L27" i="5" s="1"/>
  <c r="L94" i="5"/>
  <c r="L103" i="5" s="1"/>
  <c r="L19" i="3"/>
  <c r="L23" i="3"/>
  <c r="L17" i="5" s="1"/>
  <c r="L104" i="5"/>
  <c r="L114" i="5"/>
  <c r="L105" i="5" l="1"/>
  <c r="L107" i="5" s="1"/>
  <c r="L113" i="5"/>
  <c r="L116" i="5" s="1"/>
  <c r="L52" i="5"/>
  <c r="L47" i="5"/>
  <c r="L115" i="5" l="1"/>
  <c r="M14" i="2"/>
  <c r="M91" i="5" s="1"/>
  <c r="M17" i="2" l="1"/>
  <c r="M18" i="2" l="1"/>
  <c r="M92" i="5" s="1"/>
  <c r="M90" i="5"/>
  <c r="M93" i="5" l="1"/>
  <c r="M100" i="5" s="1"/>
  <c r="M98" i="5"/>
  <c r="M19" i="2"/>
  <c r="M16" i="3" s="1"/>
  <c r="M9" i="4" s="1"/>
  <c r="M5" i="4" l="1"/>
  <c r="M10" i="4" s="1"/>
  <c r="M6" i="5"/>
  <c r="M22" i="2"/>
  <c r="C31" i="6" s="1"/>
  <c r="M13" i="3"/>
  <c r="M14" i="3" s="1"/>
  <c r="C14" i="6"/>
  <c r="M24" i="2"/>
  <c r="M23" i="2"/>
  <c r="M7" i="5" s="1"/>
  <c r="B48" i="6" s="1"/>
  <c r="L7" i="1"/>
  <c r="L8" i="1" s="1"/>
  <c r="M99" i="5"/>
  <c r="M15" i="3" l="1"/>
  <c r="M49" i="1" s="1"/>
  <c r="M25" i="3"/>
  <c r="M8" i="5" s="1"/>
  <c r="C48" i="6" s="1"/>
  <c r="M22" i="3"/>
  <c r="M16" i="5" s="1"/>
  <c r="M13" i="5"/>
  <c r="M15" i="5"/>
  <c r="M42" i="5"/>
  <c r="B90" i="6"/>
  <c r="M20" i="5"/>
  <c r="D31" i="6" l="1"/>
  <c r="M28" i="5"/>
  <c r="M30" i="5" s="1"/>
  <c r="M17" i="3"/>
  <c r="M4" i="3" s="1"/>
  <c r="M9" i="3" s="1"/>
  <c r="M18" i="4"/>
  <c r="M95" i="5"/>
  <c r="M24" i="3"/>
  <c r="M18" i="5" s="1"/>
  <c r="N14" i="2"/>
  <c r="N91" i="5" s="1"/>
  <c r="N17" i="2" l="1"/>
  <c r="N18" i="2" s="1"/>
  <c r="N92" i="5" s="1"/>
  <c r="M104" i="5"/>
  <c r="M114" i="5"/>
  <c r="M44" i="5"/>
  <c r="M46" i="5" s="1"/>
  <c r="M21" i="4"/>
  <c r="M22" i="4" s="1"/>
  <c r="M27" i="5" s="1"/>
  <c r="M23" i="3"/>
  <c r="M17" i="5" s="1"/>
  <c r="M19" i="3"/>
  <c r="M94" i="5"/>
  <c r="M103" i="5" s="1"/>
  <c r="M113" i="5" s="1"/>
  <c r="M116" i="5" s="1"/>
  <c r="N19" i="2" l="1"/>
  <c r="N90" i="5"/>
  <c r="N93" i="5" s="1"/>
  <c r="N100" i="5" s="1"/>
  <c r="M47" i="5"/>
  <c r="M52" i="5"/>
  <c r="M105" i="5"/>
  <c r="M107" i="5" s="1"/>
  <c r="C15" i="6" l="1"/>
  <c r="N16" i="3"/>
  <c r="N9" i="4" s="1"/>
  <c r="N24" i="2"/>
  <c r="N6" i="5"/>
  <c r="N15" i="5" s="1"/>
  <c r="N13" i="3"/>
  <c r="N14" i="3" s="1"/>
  <c r="N22" i="2"/>
  <c r="C32" i="6" s="1"/>
  <c r="M7" i="1"/>
  <c r="M8" i="1" s="1"/>
  <c r="N5" i="4"/>
  <c r="N23" i="2"/>
  <c r="N7" i="5" s="1"/>
  <c r="B49" i="6" s="1"/>
  <c r="N98" i="5"/>
  <c r="N99" i="5" s="1"/>
  <c r="M115" i="5"/>
  <c r="N10" i="4" l="1"/>
  <c r="N42" i="5" s="1"/>
  <c r="N13" i="5"/>
  <c r="N15" i="3"/>
  <c r="N49" i="1" s="1"/>
  <c r="N25" i="3"/>
  <c r="N8" i="5" s="1"/>
  <c r="C49" i="6" s="1"/>
  <c r="N22" i="3"/>
  <c r="N16" i="5" s="1"/>
  <c r="N20" i="5" l="1"/>
  <c r="B91" i="6"/>
  <c r="N28" i="5"/>
  <c r="N30" i="5" s="1"/>
  <c r="D32" i="6"/>
  <c r="N95" i="5"/>
  <c r="N18" i="4"/>
  <c r="N24" i="3"/>
  <c r="N18" i="5" s="1"/>
  <c r="N17" i="3"/>
  <c r="N4" i="3" s="1"/>
  <c r="N9" i="3" s="1"/>
  <c r="N94" i="5" l="1"/>
  <c r="N103" i="5" s="1"/>
  <c r="N19" i="3"/>
  <c r="N23" i="3"/>
  <c r="N17" i="5" s="1"/>
  <c r="N44" i="5"/>
  <c r="N46" i="5" s="1"/>
  <c r="N21" i="4"/>
  <c r="N22" i="4" s="1"/>
  <c r="N27" i="5" s="1"/>
  <c r="N104" i="5"/>
  <c r="N114" i="5"/>
  <c r="N52" i="5" l="1"/>
  <c r="N47" i="5"/>
  <c r="N113" i="5"/>
  <c r="N116" i="5" s="1"/>
  <c r="N105" i="5"/>
  <c r="N107" i="5" s="1"/>
  <c r="N115" i="5" l="1"/>
  <c r="O14" i="2"/>
  <c r="O91" i="5" s="1"/>
  <c r="O17" i="2" l="1"/>
  <c r="O18" i="2" s="1"/>
  <c r="O92" i="5" s="1"/>
  <c r="O90" i="5" l="1"/>
  <c r="O93" i="5" s="1"/>
  <c r="O100" i="5" s="1"/>
  <c r="O19" i="2"/>
  <c r="O16" i="3" s="1"/>
  <c r="O9" i="4" s="1"/>
  <c r="C16" i="6" l="1"/>
  <c r="O22" i="2"/>
  <c r="C33" i="6" s="1"/>
  <c r="O23" i="2"/>
  <c r="O7" i="5" s="1"/>
  <c r="B50" i="6" s="1"/>
  <c r="N7" i="1"/>
  <c r="N8" i="1" s="1"/>
  <c r="O6" i="5"/>
  <c r="O13" i="5" s="1"/>
  <c r="O13" i="3"/>
  <c r="O14" i="3" s="1"/>
  <c r="O24" i="2"/>
  <c r="O98" i="5"/>
  <c r="O99" i="5" s="1"/>
  <c r="O5" i="4"/>
  <c r="O10" i="4" s="1"/>
  <c r="O20" i="5" s="1"/>
  <c r="O15" i="5"/>
  <c r="O42" i="5" l="1"/>
  <c r="B92" i="6"/>
  <c r="O15" i="3"/>
  <c r="O49" i="1" s="1"/>
  <c r="O25" i="3"/>
  <c r="O8" i="5" s="1"/>
  <c r="C50" i="6" s="1"/>
  <c r="O22" i="3"/>
  <c r="O16" i="5" s="1"/>
  <c r="O28" i="5" l="1"/>
  <c r="O30" i="5" s="1"/>
  <c r="D33" i="6"/>
  <c r="O95" i="5"/>
  <c r="O18" i="4"/>
  <c r="O24" i="3"/>
  <c r="O18" i="5" s="1"/>
  <c r="O17" i="3"/>
  <c r="O4" i="3" s="1"/>
  <c r="O9" i="3" s="1"/>
  <c r="O21" i="4" l="1"/>
  <c r="O22" i="4" s="1"/>
  <c r="O27" i="5" s="1"/>
  <c r="O44" i="5"/>
  <c r="O46" i="5" s="1"/>
  <c r="O114" i="5"/>
  <c r="O104" i="5"/>
  <c r="O94" i="5"/>
  <c r="O103" i="5" s="1"/>
  <c r="O19" i="3"/>
  <c r="O23" i="3"/>
  <c r="O17" i="5" s="1"/>
  <c r="O105" i="5" l="1"/>
  <c r="O107" i="5" s="1"/>
  <c r="O113" i="5"/>
  <c r="O116" i="5" s="1"/>
  <c r="O52" i="5"/>
  <c r="O47" i="5"/>
  <c r="O115" i="5" l="1"/>
  <c r="P14" i="2"/>
  <c r="P91" i="5" s="1"/>
  <c r="P17" i="2" l="1"/>
  <c r="P90" i="5" s="1"/>
  <c r="P98" i="5" s="1"/>
  <c r="P18" i="2" l="1"/>
  <c r="P92" i="5" s="1"/>
  <c r="P93" i="5" s="1"/>
  <c r="P100" i="5" s="1"/>
  <c r="P99" i="5" l="1"/>
  <c r="P19" i="2"/>
  <c r="P16" i="3" s="1"/>
  <c r="P9" i="4" s="1"/>
  <c r="P22" i="2" l="1"/>
  <c r="C34" i="6" s="1"/>
  <c r="P5" i="4"/>
  <c r="P10" i="4" s="1"/>
  <c r="B93" i="6" s="1"/>
  <c r="P23" i="2"/>
  <c r="P7" i="5" s="1"/>
  <c r="B51" i="6" s="1"/>
  <c r="C17" i="6"/>
  <c r="P6" i="5"/>
  <c r="O7" i="1"/>
  <c r="O8" i="1" s="1"/>
  <c r="P13" i="3"/>
  <c r="P14" i="3" s="1"/>
  <c r="P22" i="3" s="1"/>
  <c r="P16" i="5" s="1"/>
  <c r="D34" i="6" s="1"/>
  <c r="P24" i="2"/>
  <c r="P13" i="5"/>
  <c r="P15" i="5"/>
  <c r="P42" i="5" l="1"/>
  <c r="P20" i="5"/>
  <c r="P15" i="3"/>
  <c r="P95" i="5" s="1"/>
  <c r="P25" i="3"/>
  <c r="P8" i="5" s="1"/>
  <c r="C51" i="6" s="1"/>
  <c r="P28" i="5"/>
  <c r="P30" i="5" s="1"/>
  <c r="P31" i="5" l="1"/>
  <c r="G32" i="5" s="1"/>
  <c r="P24" i="3"/>
  <c r="P18" i="5" s="1"/>
  <c r="P18" i="4"/>
  <c r="P21" i="4" s="1"/>
  <c r="P22" i="4" s="1"/>
  <c r="P27" i="5" s="1"/>
  <c r="P17" i="3"/>
  <c r="P4" i="3" s="1"/>
  <c r="P9" i="3" s="1"/>
  <c r="P94" i="5" s="1"/>
  <c r="P103" i="5" s="1"/>
  <c r="P104" i="5"/>
  <c r="P114" i="5"/>
  <c r="P44" i="5" l="1"/>
  <c r="P46" i="5" s="1"/>
  <c r="B53" i="5" s="1"/>
  <c r="P19" i="3"/>
  <c r="P23" i="3"/>
  <c r="P17" i="5" s="1"/>
  <c r="P113" i="5"/>
  <c r="P116" i="5" s="1"/>
  <c r="P105" i="5"/>
  <c r="P107" i="5" s="1"/>
  <c r="P52" i="5"/>
  <c r="B54" i="5" s="1"/>
  <c r="P47" i="5"/>
  <c r="G35" i="5"/>
  <c r="B67" i="5" s="1"/>
  <c r="G34" i="5"/>
  <c r="B55" i="5" l="1"/>
  <c r="P115" i="5"/>
  <c r="E67" i="5"/>
  <c r="B80" i="5"/>
  <c r="G55" i="5" l="1"/>
  <c r="B68" i="5" s="1"/>
  <c r="B72" i="6"/>
  <c r="C80" i="5"/>
  <c r="D80" i="5" s="1"/>
  <c r="E68" i="5" l="1"/>
  <c r="B81" i="5"/>
  <c r="C81" i="5" l="1"/>
  <c r="D81" i="5" s="1"/>
  <c r="B73" i="6"/>
  <c r="E71" i="5"/>
  <c r="B71" i="5"/>
  <c r="B75" i="5" s="1"/>
  <c r="B76" i="6" l="1"/>
  <c r="B76" i="5"/>
  <c r="B77" i="5" l="1"/>
  <c r="C7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F12" authorId="0" shapeId="0" xr:uid="{2CEDCF8F-5472-45C9-B4BF-3640CF132CE9}">
      <text>
        <r>
          <rPr>
            <b/>
            <sz val="9"/>
            <color indexed="81"/>
            <rFont val="Tahoma"/>
            <family val="2"/>
          </rPr>
          <t>Gold loan Q3 FY26 actual ₹210 Cr. 9M FY26 rev ₹21.42 Cr annualizes to ~₹31+ Cr. Gold loan momentum + EWA ramp + early cross-sell support 45% growth.</t>
        </r>
      </text>
    </comment>
    <comment ref="G12" authorId="0" shapeId="0" xr:uid="{3980B540-8946-4639-A05C-BEC97904B934}">
      <text>
        <r>
          <rPr>
            <b/>
            <sz val="9"/>
            <color indexed="81"/>
            <rFont val="Tahoma"/>
            <family val="2"/>
          </rPr>
          <t>Gold loan syndication fee rate 1.25% + gold loan quarterly disbursements at ₹500 Cr/qtr reflecting gold bull thesis. Combined with cross-sell ramp + EWA growth, total revenue growth reaches ~75% YoY. This is a breakout year for Emerald as gold syndication scales massively.</t>
        </r>
      </text>
    </comment>
    <comment ref="H12" authorId="0" shapeId="0" xr:uid="{3BFA7450-8F32-4B6B-BD06-A95681C1A424}">
      <text>
        <r>
          <rPr>
            <b/>
            <sz val="9"/>
            <color indexed="81"/>
            <rFont val="Tahoma"/>
            <family val="2"/>
          </rPr>
          <t>Revised from 35%. Gold loan syndication continues to ramp. Cross-sell fully online.</t>
        </r>
      </text>
    </comment>
    <comment ref="I12" authorId="0" shapeId="0" xr:uid="{76844221-7636-48D0-B2E6-8663B7C1AD6A}">
      <text>
        <r>
          <rPr>
            <b/>
            <sz val="9"/>
            <color indexed="81"/>
            <rFont val="Tahoma"/>
            <family val="2"/>
          </rPr>
          <t>Revised from 30%. Moderating growth as base expands.</t>
        </r>
      </text>
    </comment>
    <comment ref="J12" authorId="0" shapeId="0" xr:uid="{65213BD4-32C3-4BCE-81CF-7435EBDFC6E6}">
      <text>
        <r>
          <rPr>
            <b/>
            <sz val="9"/>
            <color indexed="81"/>
            <rFont val="Tahoma"/>
            <family val="2"/>
          </rPr>
          <t>Revised from 25%. Maturing revenue base.</t>
        </r>
      </text>
    </comment>
    <comment ref="K12" authorId="0" shapeId="0" xr:uid="{EA57897C-D480-4C51-B6E2-9E1A2E5DA66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Revised from 22%. Gold loan syndication continues adding.</t>
        </r>
      </text>
    </comment>
    <comment ref="L12" authorId="0" shapeId="0" xr:uid="{163E1787-D8C5-4383-A6BA-06D83CC0F93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Revised from 20%. Steady state approaching.</t>
        </r>
      </text>
    </comment>
    <comment ref="M12" authorId="0" shapeId="0" xr:uid="{C5CCEBDB-1F7D-466A-96CB-FCE0484CA78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Revised from 18%.</t>
        </r>
      </text>
    </comment>
    <comment ref="N12" authorId="0" shapeId="0" xr:uid="{A9F18CA8-6077-4BAA-8CF4-1D4BAC93D64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Revised from 16%.</t>
        </r>
      </text>
    </comment>
    <comment ref="O12" authorId="0" shapeId="0" xr:uid="{1D9D109C-5B5B-45B5-998F-8D17A626EF0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Revised from 14%. Terminal-ish growth.</t>
        </r>
      </text>
    </comment>
    <comment ref="A15" authorId="0" shapeId="0" xr:uid="{CDEE2E2D-438E-4420-B362-1B90B36E0D1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Indiactes rate of increase of EWA penetration Y-o-Y and also increase in the average size of the corporates onboarded</t>
        </r>
      </text>
    </comment>
    <comment ref="B16" authorId="0" shapeId="0" xr:uid="{E8AB212B-17D4-4227-9F3F-0607CBFD0F7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In-line with real inflation
+ a little extra to account for increased aspirations and hence need of mid-month liq. over-time</t>
        </r>
      </text>
    </comment>
    <comment ref="F17" authorId="0" shapeId="0" xr:uid="{A6584D9A-0E8A-49E2-B833-66EBE6FAFE29}">
      <text>
        <r>
          <rPr>
            <b/>
            <sz val="9"/>
            <color indexed="81"/>
            <rFont val="Tahoma"/>
            <family val="2"/>
          </rPr>
          <t>9M FY26: 180 corporates. Tightened credit norms = quality over quantity. And looking at the current rate of additions, 210 by FY26-end.</t>
        </r>
      </text>
    </comment>
    <comment ref="G17" authorId="0" shapeId="0" xr:uid="{07EB236C-C9E5-40FE-888E-189E33FD9120}">
      <text>
        <r>
          <rPr>
            <b/>
            <sz val="9"/>
            <color indexed="81"/>
            <rFont val="Tahoma"/>
            <family val="2"/>
          </rPr>
          <t>~45% growth. App + WhatsApp live. Referral program active. 7 new in Feb-26 alone.</t>
        </r>
      </text>
    </comment>
    <comment ref="H17" authorId="0" shapeId="0" xr:uid="{D22F36E1-BDE7-4F5E-AAFF-2790A2C8B91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Growth Picking up after a certain point due to network effects.</t>
        </r>
      </text>
    </comment>
    <comment ref="A18" authorId="0" shapeId="0" xr:uid="{0F2FABB8-2294-4AB9-9732-F8584DBC1E1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Given their most recent data in the investor presentation, Q3 FY26, the average dusbursement amount is INR 25000</t>
        </r>
      </text>
    </comment>
    <comment ref="F19" authorId="0" shapeId="0" xr:uid="{520C86E3-80E9-4D97-9516-F6BADB82C2FE}">
      <text>
        <r>
          <rPr>
            <b/>
            <sz val="9"/>
            <color indexed="81"/>
            <rFont val="Tahoma"/>
            <family val="2"/>
          </rPr>
          <t>Current run-rate ~₹9-10 Cr/month. Mgmt targeted 15 Cr by FY26 but fell short and cut down the target to 12Cr/month in the most recent Q3FY26 concall.</t>
        </r>
      </text>
    </comment>
    <comment ref="G19" authorId="0" shapeId="0" xr:uid="{E30A1D58-5128-47FB-9D3B-CC73F81A0EEF}">
      <text>
        <r>
          <rPr>
            <b/>
            <sz val="9"/>
            <color indexed="81"/>
            <rFont val="Tahoma"/>
            <family val="2"/>
          </rPr>
          <t>Aligned with mgmt guidance. App disbursement drives adoption.</t>
        </r>
      </text>
    </comment>
    <comment ref="H19" authorId="0" shapeId="0" xr:uid="{3B2ACCA6-921C-4262-B12D-FC49D7E42E13}">
      <text>
        <r>
          <rPr>
            <b/>
            <sz val="9"/>
            <color indexed="81"/>
            <rFont val="Tahoma"/>
            <family val="2"/>
          </rPr>
          <t>Scale from 450 corporates. Higher per-corporate penetration.</t>
        </r>
      </text>
    </comment>
    <comment ref="I19" authorId="0" shapeId="0" xr:uid="{2FCCB786-3D20-4532-8068-E82ABFB4C828}">
      <text>
        <r>
          <rPr>
            <b/>
            <sz val="9"/>
            <color indexed="81"/>
            <rFont val="Tahoma"/>
            <family val="2"/>
          </rPr>
          <t>Broad base of 600 corporates. Average ticket size growing.</t>
        </r>
      </text>
    </comment>
    <comment ref="J19" authorId="0" shapeId="0" xr:uid="{415E75DE-F6A1-4D47-9C56-E15EDD3DC580}">
      <text>
        <r>
          <rPr>
            <b/>
            <sz val="9"/>
            <color indexed="81"/>
            <rFont val="Tahoma"/>
            <family val="2"/>
          </rPr>
          <t>Mature product. Growth primarily from existing corporate deepening.</t>
        </r>
      </text>
    </comment>
    <comment ref="F20" authorId="0" shapeId="0" xr:uid="{F4DBC398-27FF-4B2D-AAF3-68C803273726}">
      <text>
        <r>
          <rPr>
            <b/>
            <sz val="9"/>
            <color indexed="81"/>
            <rFont val="Tahoma"/>
            <family val="2"/>
          </rPr>
          <t>FY26E: Slight IRR compression from 22% → 21%. Driven by: (a) competitive pressure from other EWA players (Refyne, EarlySalary, Jify etc.), (b) larger corporates negotiating lower rates for their employees as Emerald scales. EWA tenor remains fixed at ~30 days (salary cycle).</t>
        </r>
      </text>
    </comment>
    <comment ref="J20" authorId="0" shapeId="0" xr:uid="{3AC4308B-5C18-4C54-8F60-0EBF2C9E1E4C}">
      <text>
        <r>
          <rPr>
            <b/>
            <sz val="9"/>
            <color indexed="81"/>
            <rFont val="Tahoma"/>
            <family val="2"/>
          </rPr>
          <t>Competition + larger ticket sizes compress yields modestly.</t>
        </r>
      </text>
    </comment>
    <comment ref="F21" authorId="0" shapeId="0" xr:uid="{63E3D3F4-F80F-41BB-BE72-897FA2DE104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EWA is small revenue (~₹2.52 Cr) but acquires retail customers at ultra-low CAC. The REAL value is cross-sell.</t>
        </r>
      </text>
    </comment>
    <comment ref="G21" authorId="0" shapeId="0" xr:uid="{32B5A180-8DD2-42E5-A3B1-45FA37CAF8F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Modest growth. EWA revenue isn't the point — customer acquisition is.</t>
        </r>
      </text>
    </comment>
    <comment ref="H21" authorId="0" shapeId="0" xr:uid="{A808E37F-99A4-4317-A3B0-21717DC856D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EWA capped by market size. But 450+ corporates = massive retail customer base for cross-sell.</t>
        </r>
      </text>
    </comment>
    <comment ref="I21" authorId="0" shapeId="0" xr:uid="{DB47F500-B874-4E92-95A6-164636E4FD5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Plateauing. Cross-sell revenue far exceeds EWA direct revenue by now.</t>
        </r>
      </text>
    </comment>
    <comment ref="J21" authorId="0" shapeId="0" xr:uid="{797D2304-6568-4265-87BD-A4EC9BB47A2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Near-ceiling for EWA segment. Cross-sell is 3-4x EWA revenue.</t>
        </r>
      </text>
    </comment>
    <comment ref="A23" authorId="0" shapeId="0" xr:uid="{9A3CE6D1-98FF-428C-AAEE-D4559C0D7BF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Processing fees on Business loan and cross-sold loans</t>
        </r>
      </text>
    </comment>
    <comment ref="C25" authorId="0" shapeId="0" xr:uid="{DCD60D3B-497C-4862-9CF0-296E33CAB53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No cross-sell lending in FY22. EWA just launching.</t>
        </r>
      </text>
    </comment>
    <comment ref="D25" authorId="0" shapeId="0" xr:uid="{B61DC2AD-6ADA-4E05-BB45-09B98DA1248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Cross-sell infrastructure being built. Gold loan syndication just starting.</t>
        </r>
      </text>
    </comment>
    <comment ref="E25" authorId="0" shapeId="0" xr:uid="{81A5A80E-E6AF-4CE5-BC8B-5ADBC3ACBCD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Early-stage personal loan cross-sell to EWA customers. Small but growing.</t>
        </r>
      </text>
    </comment>
    <comment ref="F25" authorId="0" shapeId="0" xr:uid="{2D067541-0E74-49E4-8454-9044355680F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Cross-sell ramping up. Personal loans + early invoice discounting (Petty Ltd Singapore partnership). ₹70 Cr/qtr = ₹280 Cr annual disbursement. At ~3.6 month avg tenor → ~₹85 Cr outstanding ≈ cross-sell portion of ₹95 Cr AUM.</t>
        </r>
      </text>
    </comment>
    <comment ref="G25" authorId="0" shapeId="0" xr:uid="{FBCE15B5-5B5E-4018-AE28-E7DBF0EBDD94}">
      <text>
        <r>
          <rPr>
            <b/>
            <sz val="9"/>
            <color indexed="81"/>
            <rFont val="Tahoma"/>
            <family val="2"/>
          </rPr>
          <t>Slight upgrade from ₹100. Stronger EWA base (320 corporates) drives more cross-sell. Personal loans + business loans + invoice discounting (Petty Ltd Singapore).</t>
        </r>
      </text>
    </comment>
    <comment ref="H25" authorId="0" shapeId="0" xr:uid="{A9C21CAA-5E30-46FD-A978-34BCA6972C28}">
      <text>
        <r>
          <rPr>
            <b/>
            <sz val="9"/>
            <color indexed="81"/>
            <rFont val="Tahoma"/>
            <family val="2"/>
          </rPr>
          <t>Upgrade from ₹135. 450 corporates = deeper cross-sell penetration. Invoice discounting ramping.</t>
        </r>
      </text>
    </comment>
    <comment ref="I25" authorId="0" shapeId="0" xr:uid="{08890E18-37A3-4217-8B5A-6827FE644135}">
      <text>
        <r>
          <rPr>
            <b/>
            <sz val="9"/>
            <color indexed="81"/>
            <rFont val="Tahoma"/>
            <family val="2"/>
          </rPr>
          <t>Upgrade from ₹180. 600 corporates providing steady pre-qualified borrower flow. ₹800 Cr annual → ~₹240 Cr outstanding.</t>
        </r>
      </text>
    </comment>
    <comment ref="J25" authorId="0" shapeId="0" xr:uid="{EE74C64E-E0CA-445F-B0EF-5CE8FA1767CC}">
      <text>
        <r>
          <rPr>
            <b/>
            <sz val="9"/>
            <color indexed="81"/>
            <rFont val="Tahoma"/>
            <family val="2"/>
          </rPr>
          <t>Upgrade from ₹225. Maturing cross-sell engine. 750 corporates.</t>
        </r>
      </text>
    </comment>
    <comment ref="K25" authorId="0" shapeId="0" xr:uid="{4717E5E8-39DB-4002-AAF9-16F83231BE0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Upgrade from ₹265. Steady state growth.</t>
        </r>
      </text>
    </comment>
    <comment ref="L25" authorId="0" shapeId="0" xr:uid="{3B0A9834-451E-4448-AADD-CD238C5B422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Upgrade from ₹300. Near plateau.</t>
        </r>
      </text>
    </comment>
    <comment ref="M25" authorId="0" shapeId="0" xr:uid="{0B37FD72-1726-4130-B20F-0061F13529D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Upgrade from ₹330. Maturing.</t>
        </r>
      </text>
    </comment>
    <comment ref="N25" authorId="0" shapeId="0" xr:uid="{7F5A4915-10DF-4ECE-8E11-A9558054A25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Upgrade from ₹355.</t>
        </r>
      </text>
    </comment>
    <comment ref="O25" authorId="0" shapeId="0" xr:uid="{33A01EF7-E822-4EEB-AB71-C2EB6D86607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Upgrade from ₹375. Terminal cross-sell run-rate.</t>
        </r>
      </text>
    </comment>
    <comment ref="D26" authorId="0" shapeId="0" xr:uid="{FC572C60-3198-40E4-BD53-56D2E45243A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Early gold loan syndication</t>
        </r>
      </text>
    </comment>
    <comment ref="E26" authorId="0" shapeId="0" xr:uid="{C06FCBE2-63E0-46B2-B0EA-029A3C6FFD4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₹115 Cr in Q2 FY26 alone; annualized ~₹360 Cr</t>
        </r>
      </text>
    </comment>
    <comment ref="F26" authorId="0" shapeId="0" xr:uid="{BEE00774-41A0-41AA-9CE9-78DC08A2A71F}">
      <text>
        <r>
          <rPr>
            <b/>
            <sz val="9"/>
            <color indexed="81"/>
            <rFont val="Tahoma"/>
            <family val="2"/>
          </rPr>
          <t>Q3 FY26 actual: ₹210 Cr (Oct ₹50 + Nov ₹55 + Dec ₹105 Cr). Q4E ~₹350 Cr (Dec exit rate ₹105 Cr/month). Q1~₹100, Q2~₹115. Annual total ~₹775 Cr.</t>
        </r>
      </text>
    </comment>
    <comment ref="G26" authorId="0" shapeId="0" xr:uid="{A1F04B73-3070-4FB4-928A-B972580EB775}">
      <text>
        <r>
          <rPr>
            <b/>
            <sz val="9"/>
            <color indexed="81"/>
            <rFont val="Tahoma"/>
            <family val="2"/>
          </rPr>
          <t>Gold price forecast bullish: JPM targets $5,055/oz by Q4 2026 (jpmorgan.com). India gold loan disbursements surged 94% YoY in Q3 FY26 (Equifax/Business Standard). Weakening dollar confidence drives gold demand higher. Exit rate of ₹350 Cr/qtr in Q4 FY26 ramps to ₹500 as rising gold prices increase collateral value &amp; loan demand.</t>
        </r>
      </text>
    </comment>
    <comment ref="H26" authorId="0" shapeId="0" xr:uid="{6E271E73-E3E1-4250-B1E0-7BED3D16C41B}">
      <text>
        <r>
          <rPr>
            <b/>
            <sz val="9"/>
            <color indexed="81"/>
            <rFont val="Tahoma"/>
            <family val="2"/>
          </rPr>
          <t>Gold prices I believe will rise further on the back of a global currency reset. ICRA projects organized gold loan market to reach ₹18 lakh Cr by FY27. Rising gold prices = higher ticket sizes = more disbursements. Emerald expanding to new geographies (incl. Andaman &amp; Nicobar).</t>
        </r>
      </text>
    </comment>
    <comment ref="I26" authorId="0" shapeId="0" xr:uid="{7E96CCE2-1238-41DA-A26F-BC25D83032AC}">
      <text>
        <r>
          <rPr>
            <b/>
            <sz val="9"/>
            <color indexed="81"/>
            <rFont val="Tahoma"/>
            <family val="2"/>
          </rPr>
          <t>Gold price multi-year bull market supported by de-dollarization, central bank buying and very limited known and reserves remaining. India gold loan market growing 26% CAGR. Emerald deepening bank partnerships (ICICI, HDFC, RBL, Muthoot).</t>
        </r>
      </text>
    </comment>
    <comment ref="J26" authorId="0" shapeId="0" xr:uid="{17ABCD34-5F0E-4C7C-88F7-7B22D498B150}">
      <text>
        <r>
          <rPr>
            <b/>
            <sz val="9"/>
            <color indexed="81"/>
            <rFont val="Tahoma"/>
            <family val="2"/>
          </rPr>
          <t>Structural gold bull thesis: weakening global dollar confidence, central bank de-dollarization, India household wealth increasing and as a result gold monetization expanding. Emerald capturing larger share of growing pie.</t>
        </r>
      </text>
    </comment>
    <comment ref="K26" authorId="0" shapeId="0" xr:uid="{3AFEFEF9-FB4D-4FC3-81D7-0E8E9A8ED76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UPGRADED from ₹920 Cr/qtr. Gold price multi-year bull market continues. Emerald is now an established gold loan syndication platform.</t>
        </r>
      </text>
    </comment>
    <comment ref="L26" authorId="0" shapeId="0" xr:uid="{DD395330-EA33-4B11-9634-845A55287C0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Continued gold price tailwind. Market structure favoring organized players.</t>
        </r>
      </text>
    </comment>
    <comment ref="M26" authorId="0" shapeId="0" xr:uid="{6315C9F1-22C9-4551-9DA3-E3FFA6C205B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Maturing base but gold prices and new bank tie-ups sustain growth.</t>
        </r>
      </text>
    </comment>
    <comment ref="N26" authorId="0" shapeId="0" xr:uid="{2621BCC8-4F72-439D-A545-B71C3E07E26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Steady state growth in deeply established syndication platform.</t>
        </r>
      </text>
    </comment>
    <comment ref="O26" authorId="0" shapeId="0" xr:uid="{D483D84D-F2CA-434F-BC2E-2E8A094AC8C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Terminal growth in gold syndication. Emerald well-positioned as gold loan market matures.</t>
        </r>
      </text>
    </comment>
    <comment ref="F27" authorId="0" shapeId="0" xr:uid="{8A968579-B0D7-4707-9BB1-E184844C2415}">
      <text>
        <r>
          <rPr>
            <b/>
            <sz val="9"/>
            <color indexed="81"/>
            <rFont val="Tahoma"/>
            <family val="2"/>
          </rPr>
          <t>Emerald earns 1.25% commission on gold loan syndication per product-level analysis. 3.5% applies to personal loans (cross-sell). Using 1.25% as gold-specific rate for Row 25 formula.</t>
        </r>
      </text>
    </comment>
    <comment ref="G27" authorId="0" shapeId="0" xr:uid="{B6DE1BBD-9FC0-465F-9744-70A2FE42B519}">
      <text>
        <r>
          <rPr>
            <b/>
            <sz val="9"/>
            <color indexed="81"/>
            <rFont val="Tahoma"/>
            <family val="2"/>
          </rPr>
          <t>Gold-specific syndication rate 1.25%. As co-lending share increases, effective realization could trend higher, but keeping conservative at 1.25% for now.</t>
        </r>
      </text>
    </comment>
    <comment ref="H27" authorId="0" shapeId="0" xr:uid="{C0053B45-1134-42AE-879D-81A2A6814209}">
      <text>
        <r>
          <rPr>
            <b/>
            <sz val="9"/>
            <color indexed="81"/>
            <rFont val="Tahoma"/>
            <family val="2"/>
          </rPr>
          <t>Stable gold syndication rate. CRISIL BBB- upgrade strengthens bank partnerships.</t>
        </r>
      </text>
    </comment>
    <comment ref="I27" authorId="0" shapeId="0" xr:uid="{EE453CDE-6126-48BD-842F-CF396BA70F99}">
      <text>
        <r>
          <rPr>
            <b/>
            <sz val="9"/>
            <color indexed="81"/>
            <rFont val="Tahoma"/>
            <family val="2"/>
          </rPr>
          <t>Stable. Mature gold loan partnerships with ICICI, HDFC, RBL, Muthoot.</t>
        </r>
      </text>
    </comment>
    <comment ref="J27" authorId="0" shapeId="0" xr:uid="{87B22410-62AE-40C3-9CB1-9A46E1B982EE}">
      <text>
        <r>
          <rPr>
            <b/>
            <sz val="9"/>
            <color indexed="81"/>
            <rFont val="Tahoma"/>
            <family val="2"/>
          </rPr>
          <t>Slight compression from 1.25% to 1.20% as volumes scale and competitive pressure increases.</t>
        </r>
      </text>
    </comment>
    <comment ref="K27" authorId="0" shapeId="0" xr:uid="{36D44A9D-DE17-44A2-BE0B-88FEC70C378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Stable at 1.2%. Scale offsets competitive pressure.</t>
        </r>
      </text>
    </comment>
    <comment ref="L27" authorId="0" shapeId="0" xr:uid="{2720FB18-91C3-48B4-8FAB-7194DD406D9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Steady state. Well-established bank partnerships.</t>
        </r>
      </text>
    </comment>
    <comment ref="C30" authorId="0" shapeId="0" xr:uid="{F1E5C755-B901-47EF-8440-3509BD555B7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FY23 annual report. DSA commission income from gold loans (HDFC Bank partnership), personal loans, home loans etc. via ShubhBank.com (subsidiary Eclat Net). ~40 bank partners.</t>
        </r>
      </text>
    </comment>
    <comment ref="D30" authorId="0" shapeId="0" xr:uid="{91843919-B0E6-4B15-93C9-9E850894208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FY24 annual report. Gold loan syndication growing. Other DSA stable. ~40 bank partnerships.</t>
        </r>
      </text>
    </comment>
    <comment ref="E30" authorId="0" shapeId="0" xr:uid="{738FB641-466D-4A3A-918D-B38E980CA69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FY25 filing + Q4 FY25 concall. Gold loan syndication ~₹360 Cr annual × 1.5% DSA fee = ₹5.4 Cr + Other DSA (PL, HL etc.) ₹3.0 Cr. Gold loan is the largest DSA sub-segment.</t>
        </r>
      </text>
    </comment>
    <comment ref="F30" authorId="0" shapeId="0" xr:uid="{8032E552-5F4D-4130-A478-B1CE9CD599E7}">
      <text>
        <r>
          <rPr>
            <b/>
            <sz val="9"/>
            <color indexed="81"/>
            <rFont val="Tahoma"/>
            <family val="2"/>
          </rPr>
          <t>FORMULA LINKED: Gold syndication = Quarterly Disbursement (Row 21) × 4 quarters × Fee Rate (Row 22) + Other DSA income (~₹4.0 Cr from PL, HL, LAP syndication via ShubhBank/Eclat Net). Source for fee rate: Zennivesh Research — 1.25% gold loan, 3.5% PL. Source for disbursements: BSE filings (equitybulls.com).</t>
        </r>
      </text>
    </comment>
    <comment ref="G30" authorId="0" shapeId="0" xr:uid="{97E0BBC5-2852-43FB-B702-E662FB6B89A9}">
      <text>
        <r>
          <rPr>
            <b/>
            <sz val="9"/>
            <color indexed="81"/>
            <rFont val="Tahoma"/>
            <family val="2"/>
          </rPr>
          <t>Gold syndication formula linked. Other DSA ₹4.5 Cr (PL, HL, LAP). Growing bank partnerships.</t>
        </r>
      </text>
    </comment>
    <comment ref="H30" authorId="0" shapeId="0" xr:uid="{E313F424-2C3D-4A56-BDEB-341065D176BC}">
      <text>
        <r>
          <rPr>
            <b/>
            <sz val="9"/>
            <color indexed="81"/>
            <rFont val="Tahoma"/>
            <family val="2"/>
          </rPr>
          <t>Gold syndication formula linked. Other DSA ₹5.0 Cr.</t>
        </r>
      </text>
    </comment>
    <comment ref="I30" authorId="0" shapeId="0" xr:uid="{7683DC13-30A1-49E9-844A-FB574D036C84}">
      <text>
        <r>
          <rPr>
            <b/>
            <sz val="9"/>
            <color indexed="81"/>
            <rFont val="Tahoma"/>
            <family val="2"/>
          </rPr>
          <t>Gold syndication formula linked. Other DSA ₹5.5 Cr.</t>
        </r>
      </text>
    </comment>
    <comment ref="J30" authorId="0" shapeId="0" xr:uid="{0C17DEBF-AF32-4D8E-BF2D-7462D057F65B}">
      <text>
        <r>
          <rPr>
            <b/>
            <sz val="9"/>
            <color indexed="81"/>
            <rFont val="Tahoma"/>
            <family val="2"/>
          </rPr>
          <t>Gold syndication formula linked. Other DSA ₹6.0 Cr.</t>
        </r>
      </text>
    </comment>
    <comment ref="K30" authorId="0" shapeId="0" xr:uid="{178D1305-72CC-4EBA-8F65-1B78DA606153}">
      <text>
        <r>
          <rPr>
            <b/>
            <sz val="9"/>
            <color indexed="81"/>
            <rFont val="Tahoma"/>
            <family val="2"/>
          </rPr>
          <t>Gold syndication formula linked. Other DSA ₹6.5 Cr.</t>
        </r>
      </text>
    </comment>
    <comment ref="L30" authorId="0" shapeId="0" xr:uid="{78A84F56-F5A1-4E76-A9C3-4E04052B6D66}">
      <text>
        <r>
          <rPr>
            <b/>
            <sz val="9"/>
            <color indexed="81"/>
            <rFont val="Tahoma"/>
            <family val="2"/>
          </rPr>
          <t>Gold syndication formula linked. Other DSA ₹7.0 Cr.</t>
        </r>
      </text>
    </comment>
    <comment ref="M30" authorId="0" shapeId="0" xr:uid="{4D44EF80-7F0F-4D67-AA15-EA5723F79E1B}">
      <text>
        <r>
          <rPr>
            <b/>
            <sz val="9"/>
            <color indexed="81"/>
            <rFont val="Tahoma"/>
            <family val="2"/>
          </rPr>
          <t>Gold syndication formula linked. Other DSA ₹7.5 Cr.</t>
        </r>
      </text>
    </comment>
    <comment ref="N30" authorId="0" shapeId="0" xr:uid="{D91A6718-1959-49A1-8EAC-B17928C4410A}">
      <text>
        <r>
          <rPr>
            <b/>
            <sz val="9"/>
            <color indexed="81"/>
            <rFont val="Tahoma"/>
            <family val="2"/>
          </rPr>
          <t>Gold syndication formula linked. Other DSA ₹8.0 Cr.</t>
        </r>
      </text>
    </comment>
    <comment ref="O30" authorId="0" shapeId="0" xr:uid="{AA7B6C20-B1ED-4815-9DD0-7DAEF71D0711}">
      <text>
        <r>
          <rPr>
            <b/>
            <sz val="9"/>
            <color indexed="81"/>
            <rFont val="Tahoma"/>
            <family val="2"/>
          </rPr>
          <t>Gold syndication formula linked. Other DSA ₹8.5 Cr.</t>
        </r>
      </text>
    </comment>
    <comment ref="A31" authorId="0" shapeId="0" xr:uid="{7892F6E7-3A6A-479A-B72D-756AC0357A3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Includes ALL EWA revenue (100% fee-based) + business loan processing fees + cross-sell loan processing fees. EWA is a flat 1.5-2.5% processing fee per 30-day salary advance with ZERO interest income.</t>
        </r>
      </text>
    </comment>
    <comment ref="C31" authorId="0" shapeId="0" xr:uid="{29E3C614-4F5A-425E-84EA-D883D4561A1F}">
      <text>
        <r>
          <rPr>
            <b/>
            <sz val="9"/>
            <color indexed="81"/>
            <rFont val="Tahoma"/>
            <family val="2"/>
          </rPr>
          <t>Processing fees on BL disbursements (₹0.80) + EWA processing fees (₹0.20). EWA launched mid-FY23 via RainPay — nascent. All EWA revenue is 100% fee-based (flat processing fee on 30-day salary advances, zero interest).</t>
        </r>
      </text>
    </comment>
    <comment ref="D31" authorId="0" shapeId="0" xr:uid="{BD7729C6-933A-4610-B2D9-A9736D59DB9E}">
      <text>
        <r>
          <rPr>
            <b/>
            <sz val="9"/>
            <color indexed="81"/>
            <rFont val="Tahoma"/>
            <family val="2"/>
          </rPr>
          <t>BL processing (₹1.20) + EWA processing fees (₹0.30). EWA growing but still small. 100% fee income — no interest component.</t>
        </r>
      </text>
    </comment>
    <comment ref="E31" authorId="0" shapeId="0" xr:uid="{EB9CFB40-4E79-4E02-A5A1-3B490006EA29}">
      <text>
        <r>
          <rPr>
            <b/>
            <sz val="9"/>
            <color indexed="81"/>
            <rFont val="Tahoma"/>
            <family val="2"/>
          </rPr>
          <t>BL processing ~₹1.0 Cr + EWA processing fees ~₹1.82 Cr. EWA charges flat 1.5-2.5% processing fee per 30-day salary advance — purely fee income, zero interest. Per Q4 FY25 concall: fees = DSA + BL processing + EWA processing. Mgmt confirmed 52% fee / 48% interest split for FY25.</t>
        </r>
      </text>
    </comment>
    <comment ref="F31" authorId="0" shapeId="0" xr:uid="{F5471C51-5759-4629-9E2F-A33436BADD95}">
      <text>
        <r>
          <rPr>
            <b/>
            <sz val="9"/>
            <color indexed="81"/>
            <rFont val="Tahoma"/>
            <family val="2"/>
          </rPr>
          <t>EWA processing: ₹12 Cr/month × 12 × 2.0% fee = ₹2.88 Cr. Early stage, limited EWA competition.
+ BL/cross-sell processing: ₹1.5 Cr (BL ~₹1.0 + cross-sell ~₹0.5).</t>
        </r>
      </text>
    </comment>
    <comment ref="G31" authorId="0" shapeId="0" xr:uid="{6892B575-AA89-4F64-AB88-4F0B9596AE49}">
      <text>
        <r>
          <rPr>
            <b/>
            <sz val="9"/>
            <color indexed="81"/>
            <rFont val="Tahoma"/>
            <family val="2"/>
          </rPr>
          <t>EWA processing: ₹16 Cr/month × 12 × 1.8% fee = ₹3.46 Cr. Early competitive pressure from Refyne, EarlySalary.
+ BL/cross-sell processing: ₹1.8 Cr.</t>
        </r>
      </text>
    </comment>
    <comment ref="H31" authorId="0" shapeId="0" xr:uid="{5A83008C-0303-42D6-94D9-C694E82DBCE7}">
      <text>
        <r>
          <rPr>
            <b/>
            <sz val="9"/>
            <color indexed="81"/>
            <rFont val="Tahoma"/>
            <family val="2"/>
          </rPr>
          <t>EWA processing: ₹23 Cr/month × 12 × 1.8% fee = ₹4.97 Cr. Competition building but Emerald has employer lock-in.
+ BL/cross-sell processing: ₹2.0 Cr.</t>
        </r>
      </text>
    </comment>
    <comment ref="I31" authorId="0" shapeId="0" xr:uid="{8FC09B6D-3A5C-4429-9C0A-443ABEE7E333}">
      <text>
        <r>
          <rPr>
            <b/>
            <sz val="9"/>
            <color indexed="81"/>
            <rFont val="Tahoma"/>
            <family val="2"/>
          </rPr>
          <t>EWA processing: ₹30 Cr/month × 12 × 1.7% fee = ₹6.12 Cr. More EWA players entering — Refyne, EarlySalary, Jify, PayMe scaling up. Larger corporates negotiating lower rates.
+ BL/cross-sell processing: ₹2.2 Cr.</t>
        </r>
      </text>
    </comment>
    <comment ref="J31" authorId="0" shapeId="0" xr:uid="{51E543AA-C5B5-47EA-BE44-5F0C2105EE2B}">
      <text>
        <r>
          <rPr>
            <b/>
            <sz val="9"/>
            <color indexed="81"/>
            <rFont val="Tahoma"/>
            <family val="2"/>
          </rPr>
          <t>EWA processing: ₹38 Cr/month × 12 × 1.6% fee = ₹7.30 Cr. Pricing pressure as market scales. Some corporates switching to lower-cost providers.
+ BL/cross-sell processing: ₹2.5 Cr.</t>
        </r>
      </text>
    </comment>
    <comment ref="K31" authorId="0" shapeId="0" xr:uid="{3327216B-115D-46F2-8C51-9542A267B842}">
      <text>
        <r>
          <rPr>
            <b/>
            <sz val="9"/>
            <color indexed="81"/>
            <rFont val="Tahoma"/>
            <family val="2"/>
          </rPr>
          <t>EWA processing: ₹42 Cr/month × 12 × 1.5% fee = ₹7.56 Cr. Market maturing, fee compression accelerating.
+ BL/cross-sell processing: ₹2.8 Cr.</t>
        </r>
      </text>
    </comment>
    <comment ref="L31" authorId="0" shapeId="0" xr:uid="{A1B499F5-6C69-4B2E-8857-DFE49B6FE15C}">
      <text>
        <r>
          <rPr>
            <b/>
            <sz val="9"/>
            <color indexed="81"/>
            <rFont val="Tahoma"/>
            <family val="2"/>
          </rPr>
          <t>EWA processing: ₹45 Cr/month × 12 × 1.4% fee = ₹7.56 Cr. Approaching steady state. EWA becoming commoditized.
+ BL/cross-sell processing: ₹3.0 Cr.</t>
        </r>
      </text>
    </comment>
    <comment ref="M31" authorId="0" shapeId="0" xr:uid="{AAB17F7D-A0DA-4B0A-97AD-4C7B3DAE4641}">
      <text>
        <r>
          <rPr>
            <b/>
            <sz val="9"/>
            <color indexed="81"/>
            <rFont val="Tahoma"/>
            <family val="2"/>
          </rPr>
          <t>EWA processing: ₹47 Cr/month × 12 × 1.35% fee = ₹7.61 Cr. Near terminal rate. EWA largely commoditized, competitive equilibrium forming.
+ BL/cross-sell processing: ₹3.2 Cr.</t>
        </r>
      </text>
    </comment>
    <comment ref="N31" authorId="0" shapeId="0" xr:uid="{710AEF44-961C-461F-91ED-EC27F8060733}">
      <text>
        <r>
          <rPr>
            <b/>
            <sz val="9"/>
            <color indexed="81"/>
            <rFont val="Tahoma"/>
            <family val="2"/>
          </rPr>
          <t>EWA processing: ₹48 Cr/month × 12 × 1.25% fee = ₹7.20 Cr. STEADY STATE achieved. EWA fully mature, terminal fee rate 1.25%. Multiple established players, employer bargaining power at peak.
+ BL/cross-sell processing: ₹3.5 Cr.</t>
        </r>
      </text>
    </comment>
    <comment ref="O31" authorId="0" shapeId="0" xr:uid="{DA7229D7-362E-45BF-A81E-D814D774FF1C}">
      <text>
        <r>
          <rPr>
            <b/>
            <sz val="9"/>
            <color indexed="81"/>
            <rFont val="Tahoma"/>
            <family val="2"/>
          </rPr>
          <t>EWA processing: ₹50 Cr/month × 12 × 1.25% fee = ₹7.50 Cr. Terminal rate 1.25%. Steady state.
+ BL/cross-sell processing: ₹3.8 Cr.</t>
        </r>
      </text>
    </comment>
    <comment ref="C36" authorId="0" shapeId="0" xr:uid="{BD532C80-5BBB-4908-A31B-79FD0A97F8C9}">
      <text>
        <r>
          <rPr>
            <b/>
            <sz val="9"/>
            <color indexed="81"/>
            <rFont val="Tahoma"/>
            <family val="2"/>
          </rPr>
          <t>Source: FY23 filing. Interest on MSME/business loans only. Avg loan book ~₹28 Cr × ~17% yield. EWA has NO interest component — all EWA revenue is under Processing Fees.</t>
        </r>
      </text>
    </comment>
    <comment ref="D36" authorId="0" shapeId="0" xr:uid="{CC122FA4-4525-486E-BD9E-6CA8F5F5AD51}">
      <text>
        <r>
          <rPr>
            <b/>
            <sz val="9"/>
            <color indexed="81"/>
            <rFont val="Tahoma"/>
            <family val="2"/>
          </rPr>
          <t>Source: FY24 filing. Interest on MSME/business loans only. Avg BL book ~₹36 Cr × ~16.5% blended yield. Zero NPAs. EWA contributes ZERO to interest income — all EWA revenue is fee-based processing fees.</t>
        </r>
      </text>
    </comment>
    <comment ref="E36" authorId="0" shapeId="0" xr:uid="{5CE62C59-0D2A-4933-8DF3-BA28A507F29F}">
      <text>
        <r>
          <rPr>
            <b/>
            <sz val="9"/>
            <color indexed="81"/>
            <rFont val="Tahoma"/>
            <family val="2"/>
          </rPr>
          <t>Source: FY25 filing. BL interest only. Avg outstanding ~₹61 Cr × 17% = ₹10.35. Mgmt confirmed 48% interest income / 52% fee income for FY25. EWA contributes ZERO to interest income.</t>
        </r>
      </text>
    </comment>
    <comment ref="F36" authorId="0" shapeId="0" xr:uid="{788A9AA2-D970-4D22-988F-6AE91F8AE79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Implied avg BL book ~₹70 Cr × 17% yield. Business loans are Emerald's core lending product — MSME clients sourced via DSA network. 2-year tenure, avg ticket ₹35L, 17-18% yield.</t>
        </r>
      </text>
    </comment>
    <comment ref="G36" authorId="0" shapeId="0" xr:uid="{83356A9B-821F-4E4B-8F11-948ECC201F1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Implied avg BL book ~₹72 Cr × 17%. Book growth moderated as cross-sell personal loans take share.</t>
        </r>
      </text>
    </comment>
    <comment ref="H36" authorId="0" shapeId="0" xr:uid="{50F1A1BA-C7F4-430D-8D11-74D8F8BC1ED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Implied avg BL book ~₹89 Cr × 17%. Scaling with DSA-sourced client base.</t>
        </r>
      </text>
    </comment>
    <comment ref="I36" authorId="0" shapeId="0" xr:uid="{4106E1ED-EA40-4EDE-BEE9-107A9E209AF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Implied avg BL book ~₹110 Cr × 17%.</t>
        </r>
      </text>
    </comment>
    <comment ref="J36" authorId="0" shapeId="0" xr:uid="{5A4ED32B-76E5-4FC5-92E7-239B8A49941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Implied avg BL book ~₹144 Cr × 17%. Leverage increasing supports larger book.</t>
        </r>
      </text>
    </comment>
    <comment ref="K36" authorId="0" shapeId="0" xr:uid="{01E3A10F-3228-42CD-AF11-9B9EFC86016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Implied avg BL book ~₹200 Cr × 17%.</t>
        </r>
      </text>
    </comment>
    <comment ref="L36" authorId="0" shapeId="0" xr:uid="{0D99629A-397A-459A-A290-29CD5C8B845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Implied avg BL book ~₹280 Cr × 17%. Emerald's NBFC franchise matures.</t>
        </r>
      </text>
    </comment>
    <comment ref="M36" authorId="0" shapeId="0" xr:uid="{C4E8E370-8261-4D5D-9C00-87BE5A640BA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Implied avg BL book ~₹382 Cr × 17%.</t>
        </r>
      </text>
    </comment>
    <comment ref="N36" authorId="0" shapeId="0" xr:uid="{02127487-9FA7-4C9B-A2B5-679C1FC446E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Implied avg BL book ~₹492 Cr × 17%.</t>
        </r>
      </text>
    </comment>
    <comment ref="O36" authorId="0" shapeId="0" xr:uid="{DD4BC854-C703-4FA6-AF31-3F5DF09DE0E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Implied avg BL book ~₹617 Cr × 17%. Steady-state yield with zero NPA track record.</t>
        </r>
      </text>
    </comment>
    <comment ref="A37" authorId="0" shapeId="0" xr:uid="{2A66A60D-A8AA-44A5-AAC4-44811EA25CE6}">
      <text>
        <r>
          <rPr>
            <b/>
            <sz val="9"/>
            <color indexed="81"/>
            <rFont val="Tahoma"/>
            <family val="2"/>
          </rPr>
          <t>ZERO across all years. EWA charges ONLY a flat processing fee (1.5-2.5% per transaction) on 30-day salary advances. There is NO interest component whatsoever. All EWA revenue appears under Fee-Based Income → Processing Fees (row 26). This row is kept for transparency.</t>
        </r>
      </text>
    </comment>
    <comment ref="C38" authorId="0" shapeId="0" xr:uid="{703A0F8D-8DE2-4584-A9E0-B0BB5E6DEE2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No cross-sell lending in FY23.</t>
        </r>
      </text>
    </comment>
    <comment ref="D38" authorId="0" shapeId="0" xr:uid="{EE8C1233-9EB6-4989-9A12-9B3F57E5891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Cross-sell product not yet launched in FY24.</t>
        </r>
      </text>
    </comment>
    <comment ref="E38" authorId="0" shapeId="0" xr:uid="{8D94BCF1-E76D-4AB0-B2DA-520B3EBE13B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Cross-sell (personal loans to EWA users) launched late FY25. Minimal revenue contribution in this year.</t>
        </r>
      </text>
    </comment>
    <comment ref="F38" authorId="0" shapeId="0" xr:uid="{382B73D4-A533-4E31-B1B2-DF95F163317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Cross-sell personal loans to EWA corporate employees + BL client employees. Avg outstanding ~₹25 Cr × 16% yield. New product, book building from scratch.</t>
        </r>
      </text>
    </comment>
    <comment ref="G38" authorId="0" shapeId="0" xr:uid="{904204BD-7C17-4ACF-BC3E-347E7233556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Avg outstanding ~₹60 Cr × 16%. Rapid book build as 250+ corporates provide employee access.</t>
        </r>
      </text>
    </comment>
    <comment ref="H38" authorId="0" shapeId="0" xr:uid="{58C9FCB6-C51F-4112-B9F0-7492AFDD053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Avg outstanding ~₹100 Cr × 15.5%. Unsecured EMI-based PL, 3-6 month tenure, salary deduction repayment.</t>
        </r>
      </text>
    </comment>
    <comment ref="I38" authorId="0" shapeId="0" xr:uid="{2105D02A-0F6F-400C-A8F8-3BDF37A2847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Avg outstanding ~₹145 Cr × 15.5%. Cross-sell becoming meaningful interest income contributor.</t>
        </r>
      </text>
    </comment>
    <comment ref="J38" authorId="0" shapeId="0" xr:uid="{13F154EF-D171-43D8-9A05-83D5A0D7538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Avg outstanding ~₹190 Cr × 15%. Yield compresses slightly as product matures.</t>
        </r>
      </text>
    </comment>
    <comment ref="K38" authorId="0" shapeId="0" xr:uid="{70F537D1-1826-43E8-8976-E70AA8A2353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Avg outstanding ~₹230 Cr × 15%.</t>
        </r>
      </text>
    </comment>
    <comment ref="L38" authorId="0" shapeId="0" xr:uid="{2D10BEC5-639B-41AF-8D5A-5BDBF8FABFF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Avg outstanding ~₹260 Cr × 15%.</t>
        </r>
      </text>
    </comment>
    <comment ref="M38" authorId="0" shapeId="0" xr:uid="{89EB7301-B222-42D2-ABBC-9623C5FD15A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Avg outstanding ~₹290 Cr × 14.5%. Maturing portfolio.</t>
        </r>
      </text>
    </comment>
    <comment ref="N38" authorId="0" shapeId="0" xr:uid="{51F29683-C0C6-4739-9594-9E5CD0BDC74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Avg outstanding ~₹315 Cr × 14.5%.</t>
        </r>
      </text>
    </comment>
    <comment ref="O38" authorId="0" shapeId="0" xr:uid="{2E8F92AD-832C-4043-9661-B15827B5FF3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Avg outstanding ~₹335 Cr × 14%. Steady-state with slight yield compression.</t>
        </r>
      </text>
    </comment>
    <comment ref="C47" authorId="0" shapeId="0" xr:uid="{603D87B8-5488-48E0-BE91-60E1A77A59F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actual: 1.08/11.51 = 9.4%</t>
        </r>
      </text>
    </comment>
    <comment ref="D47" authorId="0" shapeId="0" xr:uid="{9F7912A9-0615-4DD9-A02C-15370AE868B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actual: 2.08/13.32 = 15.6%</t>
        </r>
      </text>
    </comment>
    <comment ref="F47" authorId="0" shapeId="0" xr:uid="{0558FF12-6F9E-4F1D-8CE3-C93AF6945569}">
      <text>
        <r>
          <rPr>
            <b/>
            <sz val="9"/>
            <color indexed="81"/>
            <rFont val="Tahoma"/>
            <family val="2"/>
          </rPr>
          <t>Revised: 9M FY26 emp cost ₹3.65 Cr / ₹21.42 rev = 17%. Lean structure, 5-person IT team.</t>
        </r>
      </text>
    </comment>
    <comment ref="G47" authorId="0" shapeId="0" xr:uid="{58684867-A1CC-4C58-8A5B-B6E75031A78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Operating leverage. Revenue outpaces hiring. Selective additions for EWA/sales.</t>
        </r>
      </text>
    </comment>
    <comment ref="H47" authorId="0" shapeId="0" xr:uid="{36511E5E-B7ED-4524-8C59-1DDD4B47DD2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Further scale benefits. Tech platform amortized over larger revenue base.</t>
        </r>
      </text>
    </comment>
    <comment ref="I47" authorId="0" shapeId="0" xr:uid="{11A0989A-4D36-491C-B64E-42AEEEC489C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Maturing. Some hiring for cross-sell operations but well below revenue growth.</t>
        </r>
      </text>
    </comment>
    <comment ref="J47" authorId="0" shapeId="0" xr:uid="{01A0317F-440E-4244-B57B-1BB637D4B24A}">
      <text>
        <r>
          <rPr>
            <b/>
            <sz val="9"/>
            <color indexed="81"/>
            <rFont val="Tahoma"/>
            <family val="2"/>
          </rPr>
          <t>Steady state. Highly scalable tech platform.</t>
        </r>
      </text>
    </comment>
    <comment ref="C48" authorId="0" shapeId="0" xr:uid="{2B6E4239-AF17-4AE3-A05B-519FB77CD16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actual: 4.87/11.51 = 42.3%</t>
        </r>
      </text>
    </comment>
    <comment ref="D48" authorId="0" shapeId="0" xr:uid="{7845CA16-BB39-4EC5-A342-66B1BADBA99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actual: 4.22/13.32 = 31.7%</t>
        </r>
      </text>
    </comment>
    <comment ref="F48" authorId="0" shapeId="0" xr:uid="{6B73CBB5-9512-49F7-8C67-AE277F5326A2}">
      <text>
        <r>
          <rPr>
            <b/>
            <sz val="9"/>
            <color indexed="81"/>
            <rFont val="Tahoma"/>
            <family val="2"/>
          </rPr>
          <t>Revised: 9M FY26 other opex ₹1.39 Cr / ₹21.42 rev = 6.5%. In-house tech, minimal maintenance.</t>
        </r>
      </text>
    </comment>
    <comment ref="G48" authorId="0" shapeId="0" xr:uid="{E74BE977-FFA7-4AED-A186-EBB4C201F30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Scale benefits. Platform costs don't grow linearly with revenue.</t>
        </r>
      </text>
    </comment>
    <comment ref="H48" authorId="0" shapeId="0" xr:uid="{F51C57DC-02FE-49B4-88DA-EA7C4115B54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Further operating leverage.</t>
        </r>
      </text>
    </comment>
    <comment ref="I48" authorId="0" shapeId="0" xr:uid="{0664FCF0-3B90-47BF-A97E-129BAC2ABCF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Steady. Some incremental spend on cross-sell infrastructure.</t>
        </r>
      </text>
    </comment>
    <comment ref="J48" authorId="0" shapeId="0" xr:uid="{69DA2B5E-31DD-4DC8-8135-2FF36E56C108}">
      <text>
        <r>
          <rPr>
            <b/>
            <sz val="9"/>
            <color indexed="81"/>
            <rFont val="Tahoma"/>
            <family val="2"/>
          </rPr>
          <t>Mature cost structure.</t>
        </r>
      </text>
    </comment>
    <comment ref="C49" authorId="0" shapeId="0" xr:uid="{5BABAD32-24D7-4050-8160-83E977D7BE2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 interest cost per filing.</t>
        </r>
      </text>
    </comment>
    <comment ref="D49" authorId="0" shapeId="0" xr:uid="{8BE5ABB7-448D-4424-B5A8-CB09B6D018C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 interest cost per filing.</t>
        </r>
      </text>
    </comment>
    <comment ref="E49" authorId="0" shapeId="0" xr:uid="{823FF81B-614C-491B-8BF5-FDC013675D5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actual interest/finance cost per IS filing. Includes processing fees. With borrowings at only ₹15.6 Cr, effective cost of funds ~18.6% (includes arrangement fees, processing charges etc.).</t>
        </r>
      </text>
    </comment>
    <comment ref="F49" authorId="0" shapeId="0" xr:uid="{A6CADABB-B009-4C46-B59F-9FDA4A96DA10}">
      <text>
        <r>
          <rPr>
            <b/>
            <sz val="9"/>
            <color indexed="81"/>
            <rFont val="Tahoma"/>
            <family val="2"/>
          </rPr>
          <t>FY26E: Kept as hardcode based on Q3 FY26 actuals (₹0.69/qtr annualized ~₹2.8 Cr). Using ₹2.5 Cr with CRISIL BBB- upgrade benefit in Q4. Formula not used for this year since it’s partially actual.</t>
        </r>
      </text>
    </comment>
    <comment ref="G49" authorId="0" shapeId="0" xr:uid="{D06B3756-B189-4CD7-A1D6-197FA58505E9}">
      <text>
        <r>
          <rPr>
            <b/>
            <sz val="9"/>
            <color indexed="81"/>
            <rFont val="Tahoma"/>
            <family val="2"/>
          </rPr>
          <t>Interest = Opening Debt (FY26E closing) × Cost of Debt.
= ₹20.00 × 10.25% = ₹2.05 Cr.
Uses prior year closing debt to avoid circular reference (Debt → NW → PAT → Interest).</t>
        </r>
      </text>
    </comment>
    <comment ref="H49" authorId="0" shapeId="0" xr:uid="{3367E6FF-B3A9-4FE8-8652-17EE7354ECC2}">
      <text>
        <r>
          <rPr>
            <b/>
            <sz val="9"/>
            <color indexed="81"/>
            <rFont val="Tahoma"/>
            <family val="2"/>
          </rPr>
          <t>Interest = Opening Debt (FY27E closing) × Cost of Debt.
Uses prior year closing balance to avoid circularity.</t>
        </r>
      </text>
    </comment>
    <comment ref="I49" authorId="0" shapeId="0" xr:uid="{D5DC8892-81D3-490A-8210-18AE73DE5A31}">
      <text>
        <r>
          <rPr>
            <b/>
            <sz val="9"/>
            <color indexed="81"/>
            <rFont val="Tahoma"/>
            <family val="2"/>
          </rPr>
          <t>Interest = Opening Debt × Cost of Debt.</t>
        </r>
      </text>
    </comment>
    <comment ref="J49" authorId="0" shapeId="0" xr:uid="{4661493E-A941-4853-B822-BB1DF7184877}">
      <text>
        <r>
          <rPr>
            <b/>
            <sz val="9"/>
            <color indexed="81"/>
            <rFont val="Tahoma"/>
            <family val="2"/>
          </rPr>
          <t>Interest = Opening Debt × Cost of Debt.</t>
        </r>
      </text>
    </comment>
    <comment ref="K49" authorId="0" shapeId="0" xr:uid="{B423C773-39FF-4ECB-97C5-AC12E3E55DD8}">
      <text>
        <r>
          <rPr>
            <b/>
            <sz val="9"/>
            <color indexed="81"/>
            <rFont val="Tahoma"/>
            <family val="2"/>
          </rPr>
          <t>Interest = Opening Debt × Cost of Debt.</t>
        </r>
      </text>
    </comment>
    <comment ref="L49" authorId="0" shapeId="0" xr:uid="{42185522-0160-4AB7-83C0-0C13127AEFA7}">
      <text>
        <r>
          <rPr>
            <b/>
            <sz val="9"/>
            <color indexed="81"/>
            <rFont val="Tahoma"/>
            <family val="2"/>
          </rPr>
          <t>Interest = Opening Debt × Cost of Debt.</t>
        </r>
      </text>
    </comment>
    <comment ref="M49" authorId="0" shapeId="0" xr:uid="{C6974ACC-B1F1-4612-B34D-FDEBFEA7E9CB}">
      <text>
        <r>
          <rPr>
            <b/>
            <sz val="9"/>
            <color indexed="81"/>
            <rFont val="Tahoma"/>
            <family val="2"/>
          </rPr>
          <t>Interest = Opening Debt × Cost of Debt.</t>
        </r>
      </text>
    </comment>
    <comment ref="N49" authorId="0" shapeId="0" xr:uid="{F96705CC-E1D3-48D6-8FBA-579DDBAAA92F}">
      <text>
        <r>
          <rPr>
            <b/>
            <sz val="9"/>
            <color indexed="81"/>
            <rFont val="Tahoma"/>
            <family val="2"/>
          </rPr>
          <t>Interest = Opening Debt × Cost of Debt.</t>
        </r>
      </text>
    </comment>
    <comment ref="O49" authorId="0" shapeId="0" xr:uid="{EEEDE736-BA2D-4F32-9C05-485283E1899F}">
      <text>
        <r>
          <rPr>
            <b/>
            <sz val="9"/>
            <color indexed="81"/>
            <rFont val="Tahoma"/>
            <family val="2"/>
          </rPr>
          <t>Interest = Opening Debt × Cost of Debt.</t>
        </r>
      </text>
    </comment>
    <comment ref="C50" authorId="0" shapeId="0" xr:uid="{DFF5659C-C3DF-4560-AD18-819513FB1F06}">
      <text>
        <r>
          <rPr>
            <b/>
            <sz val="9"/>
            <color indexed="81"/>
            <rFont val="Tahoma"/>
            <family val="2"/>
          </rPr>
          <t>FY23 implied cost. Small debt base makes ratio unreliable. Using ~10.5% as proxy.</t>
        </r>
      </text>
    </comment>
    <comment ref="D50" authorId="0" shapeId="0" xr:uid="{19C11B53-C683-4D65-99C8-5E067DD9690B}">
      <text>
        <r>
          <rPr>
            <b/>
            <sz val="9"/>
            <color indexed="81"/>
            <rFont val="Tahoma"/>
            <family val="2"/>
          </rPr>
          <t>FY24 implied: ₹1.42/₹14.53 = 9.8%. Normalized with larger LT borrowing base.</t>
        </r>
      </text>
    </comment>
    <comment ref="E50" authorId="0" shapeId="0" xr:uid="{4E92AA0E-F538-42EF-8641-02F189E53B1D}">
      <text>
        <r>
          <rPr>
            <b/>
            <sz val="9"/>
            <color indexed="81"/>
            <rFont val="Tahoma"/>
            <family val="2"/>
          </rPr>
          <t>FY25 implied: ₹2.9/₹15.6 = 18.6% on face. But includes arrangement fees, processing charges on new borrowing. Underlying cost ~10.5%.</t>
        </r>
      </text>
    </comment>
    <comment ref="F50" authorId="0" shapeId="0" xr:uid="{08EFB1AC-9A1A-4B3E-8E94-2756DDB77D0E}">
      <text>
        <r>
          <rPr>
            <b/>
            <sz val="9"/>
            <color indexed="81"/>
            <rFont val="Tahoma"/>
            <family val="2"/>
          </rPr>
          <t>FY26E: 10.5%. Based on Q3 FY26 actual annualized interest vs opening debt. BBB- rated NBFC.</t>
        </r>
      </text>
    </comment>
    <comment ref="G50" authorId="0" shapeId="0" xr:uid="{B841C27D-804F-4EF4-881D-1F1311C052B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10.5%. Current BBB- rated NBFC. Based on Q3 FY26 actual annualized interest vs opening debt.</t>
        </r>
      </text>
    </comment>
    <comment ref="H50" authorId="0" shapeId="0" xr:uid="{9B8DFD3E-CC7E-40C2-A2D9-27031D5595C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10.25%. Gradual improvement in credit profile as profitability scales.</t>
        </r>
      </text>
    </comment>
    <comment ref="I50" authorId="0" shapeId="0" xr:uid="{9C93C95C-9B53-436D-965E-147EE456BD4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10.0%. Continued credit rating improvement trajectory.</t>
        </r>
      </text>
    </comment>
    <comment ref="J50" authorId="0" shapeId="0" xr:uid="{FD71DE95-2C0A-4A0B-A5CF-C77B1C9C9DF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9.75%. Approaching investment-grade territory.</t>
        </r>
      </text>
    </comment>
    <comment ref="K50" authorId="0" shapeId="0" xr:uid="{AD9A591B-07CC-474B-8BDC-2080842AC16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FY31E: 9.5%. Credit upgrade benefit fully reflected.</t>
        </r>
      </text>
    </comment>
    <comment ref="M50" authorId="0" shapeId="0" xr:uid="{4348F6B0-00BB-4FEE-900B-07FE0E117A1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FY33E: 9.25%. Further improvement with scale and track record.</t>
        </r>
      </text>
    </comment>
    <comment ref="O50" authorId="0" shapeId="0" xr:uid="{56E68A02-D35A-4B4B-B476-76F43E51FC3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FY35E: 9.0%. steady-state cost of debt for a established low-NPA NBFC</t>
        </r>
      </text>
    </comment>
    <comment ref="C51" authorId="0" shapeId="0" xr:uid="{E35A4BF8-5469-4CD4-BA0B-1EC78DE2A6D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effective tax rate: 1.20/4.65 = 25.8%.</t>
        </r>
      </text>
    </comment>
    <comment ref="D51" authorId="0" shapeId="0" xr:uid="{709C8A5D-3653-4701-BC3F-5DF13AF0D7D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effective tax rate: 1.44/5.58 = 25.8%.</t>
        </r>
      </text>
    </comment>
    <comment ref="F51" authorId="0" shapeId="0" xr:uid="{B572DED1-78DD-405A-96C6-37C57B6F22C2}">
      <text>
        <r>
          <rPr>
            <b/>
            <sz val="9"/>
            <color indexed="81"/>
            <rFont val="Tahoma"/>
            <family val="2"/>
          </rPr>
          <t>Effective tax rate from 9M FY26: ₹3.63 tax / ₹14.42 PBT = 25.2%.</t>
        </r>
      </text>
    </comment>
    <comment ref="J53" authorId="0" shapeId="0" xr:uid="{ECBB6A66-441B-49A1-8554-4C62A4E4095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30% growth from ₹270 Cr. On track for ₹300 Cr target.</t>
        </r>
      </text>
    </comment>
    <comment ref="E54" authorId="0" shapeId="0" xr:uid="{752B9DFE-01BA-4808-8F82-F9F644B45284}">
      <text>
        <r>
          <rPr>
            <b/>
            <sz val="9"/>
            <color indexed="81"/>
            <rFont val="Tahoma"/>
            <family val="2"/>
          </rPr>
          <t>FY25 actual: Other Current Financial Assets = 80.69 per filing (loan book + advances).</t>
        </r>
      </text>
    </comment>
    <comment ref="F54" authorId="0" shapeId="0" xr:uid="{3B59C37F-61D9-4DEA-8043-BAC99DBF15FF}">
      <text>
        <r>
          <rPr>
            <b/>
            <sz val="9"/>
            <color indexed="81"/>
            <rFont val="Tahoma"/>
            <family val="2"/>
          </rPr>
          <t>Revised from 110. 9M FY26 trajectory suggests ~₹95 Cr AUM. EWA is short-tenor (30-day), fast churn.</t>
        </r>
      </text>
    </comment>
    <comment ref="G54" authorId="0" shapeId="0" xr:uid="{9C6C4C43-319D-46E0-AF7B-59057797C070}">
      <text>
        <r>
          <rPr>
            <b/>
            <sz val="9"/>
            <color indexed="81"/>
            <rFont val="Tahoma"/>
            <family val="2"/>
          </rPr>
          <t>42% growth. Gold loans + personal loans growing. AUM target ₹200-300 Cr in 5-6 yrs per Q3 concall.</t>
        </r>
      </text>
    </comment>
    <comment ref="H54" authorId="0" shapeId="0" xr:uid="{A46AA472-ABBD-44AC-B605-F86BAC12654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37% growth. Cross-sell products (personal loans, micro-credit) drive AUM.</t>
        </r>
      </text>
    </comment>
    <comment ref="I54" authorId="0" shapeId="0" xr:uid="{9274B87A-6F00-4490-A2F9-2D8407F7F53A}">
      <text>
        <r>
          <rPr>
            <b/>
            <sz val="9"/>
            <color indexed="81"/>
            <rFont val="Tahoma"/>
            <family val="2"/>
          </rPr>
          <t>32% growth. On track for ₹200-300 Cr mgmt target.</t>
        </r>
      </text>
    </comment>
    <comment ref="J54" authorId="0" shapeId="0" xr:uid="{3456BF42-DD52-46A2-80A9-BE5AC34D7AD7}">
      <text>
        <r>
          <rPr>
            <b/>
            <sz val="9"/>
            <color indexed="81"/>
            <rFont val="Tahoma"/>
            <family val="2"/>
          </rPr>
          <t>27% growth. Hitting upper end of mgmt ₹200-300 Cr target.</t>
        </r>
      </text>
    </comment>
    <comment ref="D55" authorId="0" shapeId="0" xr:uid="{89DEC945-4886-4F05-ACDD-3F9F676A061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10 lakh shares @ ₹100 issued to Minerva Ventures (FPI)</t>
        </r>
      </text>
    </comment>
    <comment ref="E55" authorId="0" shapeId="0" xr:uid="{1287C499-86D6-4935-B9D1-022148F0152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7.65 lakh shares @ ₹131 issued in Q4 FY25</t>
        </r>
      </text>
    </comment>
    <comment ref="G55" authorId="0" shapeId="0" xr:uid="{640030DF-3D00-41AA-A261-CD94F1F2A683}">
      <text>
        <r>
          <rPr>
            <b/>
            <sz val="9"/>
            <color indexed="81"/>
            <rFont val="Tahoma"/>
            <family val="2"/>
          </rPr>
          <t>No dilution assumed. Strong internal accruals fund growth.</t>
        </r>
      </text>
    </comment>
    <comment ref="J55" authorId="0" shapeId="0" xr:uid="{AFF0C3CC-0CB0-477C-99E9-53344C44B35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No further dilution assumed</t>
        </r>
      </text>
    </comment>
    <comment ref="J56" authorId="0" shapeId="0" xr:uid="{4FEF2CA5-A09F-42E7-86E7-2742554471F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NPA normalizing to ~1.2% as book seasons. Still healthy for NBFC.</t>
        </r>
      </text>
    </comment>
    <comment ref="D57" authorId="0" shapeId="0" xr:uid="{E825C819-ACD6-49EA-988A-BDD978798E3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Zero NPAs maintained per concall</t>
        </r>
      </text>
    </comment>
    <comment ref="E57" authorId="0" shapeId="0" xr:uid="{CE5FE8D6-375D-40AB-AF7A-95A5E8C9E2B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Historical 0.4-0.5% per management</t>
        </r>
      </text>
    </comment>
    <comment ref="F57" authorId="0" shapeId="0" xr:uid="{39EEBB70-A5E4-487C-8763-3B22DF6D2163}">
      <text>
        <r>
          <rPr>
            <b/>
            <sz val="9"/>
            <color indexed="81"/>
            <rFont val="Tahoma"/>
            <family val="2"/>
          </rPr>
          <t>One-off ₹26 lakh NPA in Q3 FY26 (₹17 lakh recovered). Historical 0.4-0.5%. Prudent underwriting.</t>
        </r>
      </text>
    </comment>
    <comment ref="G57" authorId="0" shapeId="0" xr:uid="{0583D204-B313-4DB7-B94B-45D5BF1C0609}">
      <text>
        <r>
          <rPr>
            <b/>
            <sz val="9"/>
            <color indexed="81"/>
            <rFont val="Tahoma"/>
            <family val="2"/>
          </rPr>
          <t>Slight uptick as personal loans scale. Still very low vs industry.</t>
        </r>
      </text>
    </comment>
    <comment ref="I57" authorId="0" shapeId="0" xr:uid="{F1E76632-D2BF-4D49-A134-BF9C6F554040}">
      <text>
        <r>
          <rPr>
            <b/>
            <sz val="9"/>
            <color indexed="81"/>
            <rFont val="Tahoma"/>
            <family val="2"/>
          </rPr>
          <t>Book seasoning. Still best-in-class for NBFC.</t>
        </r>
      </text>
    </comment>
    <comment ref="J57" authorId="0" shapeId="0" xr:uid="{B9CC11C2-EDD3-48E8-97A4-D46F0D41E3E2}">
      <text>
        <r>
          <rPr>
            <b/>
            <sz val="9"/>
            <color indexed="81"/>
            <rFont val="Tahoma"/>
            <family val="2"/>
          </rPr>
          <t>Normalizing as book matures. 1% is excellent for NBFC.</t>
        </r>
      </text>
    </comment>
    <comment ref="E58" authorId="0" shapeId="0" xr:uid="{2A5F68BC-90AA-4435-8ABA-4792AE74F73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actual D/E: 15.60/84.53 = ~0.18x. Very low leverage.</t>
        </r>
      </text>
    </comment>
    <comment ref="F58" authorId="0" shapeId="0" xr:uid="{9D579BF8-F2F9-4E2C-84C7-85E4EBC7699A}">
      <text>
        <r>
          <rPr>
            <b/>
            <sz val="9"/>
            <color indexed="81"/>
            <rFont val="Tahoma"/>
            <family val="2"/>
          </rPr>
          <t>Target D/E: Modest increase from FY25 actual 0.18x. Company beginning to lever up gradually with BBB- rating.</t>
        </r>
      </text>
    </comment>
    <comment ref="G58" authorId="0" shapeId="0" xr:uid="{4213367E-E526-4CC3-A5A7-E527E4A8AD04}">
      <text>
        <r>
          <rPr>
            <b/>
            <sz val="9"/>
            <color indexed="81"/>
            <rFont val="Tahoma"/>
            <family val="2"/>
          </rPr>
          <t>Target D/E: Gradual leverage build as NBFC scales AUM. Still very conservative vs peers at 3-5x.</t>
        </r>
      </text>
    </comment>
    <comment ref="H58" authorId="0" shapeId="0" xr:uid="{BE7C4679-7C80-41E2-9A2B-FBD2F5B1A31A}">
      <text>
        <r>
          <rPr>
            <b/>
            <sz val="9"/>
            <color indexed="81"/>
            <rFont val="Tahoma"/>
            <family val="2"/>
          </rPr>
          <t>Target D/E: Moderate leverage. BBB- rating enables cheaper funding.</t>
        </r>
      </text>
    </comment>
    <comment ref="I58" authorId="0" shapeId="0" xr:uid="{9BC79E93-DCB9-48BC-8A60-9C83E163E7C2}">
      <text>
        <r>
          <rPr>
            <b/>
            <sz val="9"/>
            <color indexed="81"/>
            <rFont val="Tahoma"/>
            <family val="2"/>
          </rPr>
          <t>Target D/E: Building leverage for AUM growth. Conservative for NBFC industry.</t>
        </r>
      </text>
    </comment>
    <comment ref="J58" authorId="0" shapeId="0" xr:uid="{191D3639-F4FC-40F1-AFF8-170E4DB3758A}">
      <text>
        <r>
          <rPr>
            <b/>
            <sz val="9"/>
            <color indexed="81"/>
            <rFont val="Tahoma"/>
            <family val="2"/>
          </rPr>
          <t>Target D/E: Approaching management comfort zone. Room for further leverage if needed.</t>
        </r>
      </text>
    </comment>
    <comment ref="K58" authorId="0" shapeId="0" xr:uid="{06F9872F-CCE8-4317-810B-A9DA315CB77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Target D/E: Stabilizing leverage. Still very low vs NBFC peers.</t>
        </r>
      </text>
    </comment>
    <comment ref="L58" authorId="0" shapeId="0" xr:uid="{653DA27D-746C-4FAE-A36D-DA4308973B5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Target D/E: Mature leverage level for a conservative NBFC.</t>
        </r>
      </text>
    </comment>
    <comment ref="M58" authorId="0" shapeId="0" xr:uid="{7F225E9D-DD15-4AA2-A2FC-89843B978DF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Target D/E: Near steady-state. Management maintaining conservative capital structure.</t>
        </r>
      </text>
    </comment>
    <comment ref="N58" authorId="0" shapeId="0" xr:uid="{D94599AE-C0F5-474D-BF29-FE963339EE8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Target D/E: Steady-state leverage for Emerald's conservative profile.</t>
        </r>
      </text>
    </comment>
    <comment ref="O58" authorId="0" shapeId="0" xr:uid="{A29DFF7C-5F62-48EB-AFC6-CF66EECAE4C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Target D/E: Capped at 0.45x. Consistent with Emerald's low-leverage identity.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D4" authorId="0" shapeId="0" xr:uid="{837507E3-D4EA-4C4E-B64A-D3C22A6F1648}">
      <text>
        <r>
          <rPr>
            <b/>
            <sz val="9"/>
            <color indexed="81"/>
            <rFont val="Tahoma"/>
            <family val="2"/>
          </rPr>
          <t>Source: BSE Investor Presentation / Consolidated P&amp;L</t>
        </r>
      </text>
    </comment>
    <comment ref="E4" authorId="0" shapeId="0" xr:uid="{0DDF8307-A640-4B9C-8DE1-A7D4C46901B3}">
      <text>
        <r>
          <rPr>
            <b/>
            <sz val="9"/>
            <color indexed="81"/>
            <rFont val="Tahoma"/>
            <family val="2"/>
          </rPr>
          <t>Corrected from 13.35. Actual per consolidated P&amp;L filing.</t>
        </r>
      </text>
    </comment>
    <comment ref="F4" authorId="0" shapeId="0" xr:uid="{55FEDFA9-F929-41E3-BA83-CAD1CF3FAFA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BSE Filing / ANI press release</t>
        </r>
      </text>
    </comment>
    <comment ref="G4" authorId="0" shapeId="0" xr:uid="{6CB388D0-949C-4F81-A723-B0C7026B2A9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Linked to Assumptions row 37: Total Revenue = Fee Income + Interest Income</t>
        </r>
      </text>
    </comment>
    <comment ref="H4" authorId="0" shapeId="0" xr:uid="{0EA90381-BCA1-40D9-9D96-9399689F75C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Linked to Assumptions row 37: Total Revenue = Fee Income + Interest Income</t>
        </r>
      </text>
    </comment>
    <comment ref="I4" authorId="0" shapeId="0" xr:uid="{E9C268DD-DDFA-4B08-837C-9016119FAC5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Linked to Assumptions row 37: Total Revenue = Fee Income + Interest Income</t>
        </r>
      </text>
    </comment>
    <comment ref="J4" authorId="0" shapeId="0" xr:uid="{3C7270FC-1890-4C19-AA39-7E0721C0346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Linked to Assumptions row 37: Total Revenue = Fee Income + Interest Income</t>
        </r>
      </text>
    </comment>
    <comment ref="K4" authorId="0" shapeId="0" xr:uid="{718ACEE1-96F9-4E15-A388-A689B1996CF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Linked to Assumptions row 37: Total Revenue = Fee Income + Interest Income</t>
        </r>
      </text>
    </comment>
    <comment ref="L4" authorId="0" shapeId="0" xr:uid="{82731AF2-29FD-49B4-B84D-72A133A57C6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Linked to Assumptions row 37: Total Revenue = Fee Income + Interest Income</t>
        </r>
      </text>
    </comment>
    <comment ref="M4" authorId="0" shapeId="0" xr:uid="{AAB49991-147A-4BF9-98FA-6EB090F436A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Linked to Assumptions row 37: Total Revenue = Fee Income + Interest Income</t>
        </r>
      </text>
    </comment>
    <comment ref="N4" authorId="0" shapeId="0" xr:uid="{142C5946-50B0-42D2-A692-AFB29BC3C33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Linked to Assumptions row 37: Total Revenue = Fee Income + Interest Income</t>
        </r>
      </text>
    </comment>
    <comment ref="O4" authorId="0" shapeId="0" xr:uid="{3DA6CA10-4B9B-41BE-B749-9FA9F307CAB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Linked to Assumptions row 37: Total Revenue = Fee Income + Interest Income</t>
        </r>
      </text>
    </comment>
    <comment ref="P4" authorId="0" shapeId="0" xr:uid="{874E9B62-45DA-4225-A55D-FFC8029C580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Linked to Assumptions row 37: Total Revenue = Fee Income + Interest Income</t>
        </r>
      </text>
    </comment>
    <comment ref="E5" authorId="0" shapeId="0" xr:uid="{343C7640-BF7E-4516-A789-D3714D82545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Corrected from 0.01. Actual per filing.</t>
        </r>
      </text>
    </comment>
    <comment ref="G5" authorId="0" shapeId="0" xr:uid="{560B8376-AD67-4461-8A07-ACDFA417E85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9M FY26 other income ~₹0.03 Cr. Minimal.</t>
        </r>
      </text>
    </comment>
    <comment ref="E9" authorId="0" shapeId="0" xr:uid="{B2B377E8-5F05-4289-88E1-4CEDA8E8DC4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Corrected from 2.13. Actual per filing.</t>
        </r>
      </text>
    </comment>
    <comment ref="E10" authorId="0" shapeId="0" xr:uid="{AA9496B1-F1E0-4D94-B3C7-1DFFECD8F44D}">
      <text>
        <r>
          <rPr>
            <b/>
            <sz val="9"/>
            <color indexed="81"/>
            <rFont val="Tahoma"/>
            <family val="2"/>
          </rPr>
          <t>Adjusted from 4.21 to reconcile EBITDA to 7.06 per filing. Rounding difference.</t>
        </r>
      </text>
    </comment>
    <comment ref="D14" authorId="0" shapeId="0" xr:uid="{E0C47292-90F0-488D-A862-4D63CCFDDD8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Corrected from 1.30. Actual per consolidated P&amp;L filing.</t>
        </r>
      </text>
    </comment>
    <comment ref="E14" authorId="0" shapeId="0" xr:uid="{48735740-00A8-407E-9890-45D92D5B79D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Corrected from 1.50. Actual per filing.</t>
        </r>
      </text>
    </comment>
    <comment ref="D15" authorId="0" shapeId="0" xr:uid="{26FB8312-0986-4465-9E43-B3646FA5C4D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Corrected from 0. Actual depreciation per filing.</t>
        </r>
      </text>
    </comment>
    <comment ref="E15" authorId="0" shapeId="0" xr:uid="{C0C0E891-FA6D-4694-A8F3-2401649E403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Corrected from 0. Actual depreciation per filing.</t>
        </r>
      </text>
    </comment>
    <comment ref="C16" authorId="0" shapeId="0" xr:uid="{13439FC6-8070-49B8-8D75-886BC14CE23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 consolidated P&amp;L. Long term + short term provisions.</t>
        </r>
      </text>
    </comment>
    <comment ref="D16" authorId="0" shapeId="0" xr:uid="{45CC5C6E-2451-4DB1-95E7-A9978FADEFB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Provisions: Long term 0.83 Cr provision on BS but P&amp;L line shows flow-through of ~0.08 Cr.</t>
        </r>
      </text>
    </comment>
    <comment ref="E16" authorId="0" shapeId="0" xr:uid="{6A4AACCC-8F80-4423-8E4B-EB67A20211DD}">
      <text>
        <r>
          <rPr>
            <b/>
            <sz val="9"/>
            <color indexed="81"/>
            <rFont val="Tahoma"/>
            <family val="2"/>
          </rPr>
          <t>No provisions charge in FY24 P&amp;L. BS provision is a stock figure.</t>
        </r>
      </text>
    </comment>
    <comment ref="C18" authorId="0" shapeId="0" xr:uid="{5BB3AB95-5375-4FF0-B34F-62FEFE7AD4A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Actual tax expense from filing. Effective rate ~26%.</t>
        </r>
      </text>
    </comment>
    <comment ref="D18" authorId="0" shapeId="0" xr:uid="{151831B7-6123-4BDF-A287-AA9BE2BA4509}">
      <text>
        <r>
          <rPr>
            <b/>
            <sz val="9"/>
            <color indexed="81"/>
            <rFont val="Tahoma"/>
            <family val="2"/>
          </rPr>
          <t>Adjusted to reconcile PAT to reported 3.45 Cr. Screenshot shows 1.19 but PAT=3.45 implies tax=1.20 (PBT 4.65-PAT 3.45=1.20).</t>
        </r>
      </text>
    </comment>
    <comment ref="E18" authorId="0" shapeId="0" xr:uid="{2E9B0D86-0EFC-4E80-AE66-3D309A85C94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Actual tax expense from filing. Effective rate ~25.8%.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C4" authorId="0" shapeId="0" xr:uid="{6FCF2027-5066-4534-8652-F5A0EFF0BD5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actual: Cash &amp; Bank Balance per filing.</t>
        </r>
      </text>
    </comment>
    <comment ref="D4" authorId="0" shapeId="0" xr:uid="{B4C35492-866B-45A6-9166-30B9738FBEC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actual: Cash &amp; Bank Balance per filing.</t>
        </r>
      </text>
    </comment>
    <comment ref="E4" authorId="0" shapeId="0" xr:uid="{55B01632-317D-4B17-BC2A-91CE47CD916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actual: Cash &amp; Bank Balance per filing.</t>
        </r>
      </text>
    </comment>
    <comment ref="F4" authorId="0" shapeId="0" xr:uid="{11296E36-23EB-4AF1-8DE3-EF8ACA2B628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actual: Cash &amp; Bank Balance per consolidated BS filing.</t>
        </r>
      </text>
    </comment>
    <comment ref="G4" authorId="0" shapeId="0" xr:uid="{8393488A-4531-465E-AFFB-7558CB06D075}">
      <text>
        <r>
          <rPr>
            <b/>
            <sz val="9"/>
            <color indexed="81"/>
            <rFont val="Tahoma"/>
            <family val="2"/>
          </rPr>
          <t>Cash = Total L&amp;E - AUM - Investments - Fixed Assets - Other Assets. Excess cash builds from strong internal accruals.</t>
        </r>
      </text>
    </comment>
    <comment ref="H4" authorId="0" shapeId="0" xr:uid="{57F2E303-BDB7-45B0-80DD-06847C1AB15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Cash = Total L&amp;E - AUM - Investments - Fixed - Other. Excess equity funding goes to cash/liquid assets.</t>
        </r>
      </text>
    </comment>
    <comment ref="I4" authorId="0" shapeId="0" xr:uid="{244C2104-F1D7-400F-BCEB-BADAFD488ED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Cash = plug. Low-leverage NBFC accumulates excess cash from high profitability.</t>
        </r>
      </text>
    </comment>
    <comment ref="J4" authorId="0" shapeId="0" xr:uid="{51501F81-3C51-4EBE-90D7-4F551DAB301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Cash = plug.</t>
        </r>
      </text>
    </comment>
    <comment ref="K4" authorId="0" shapeId="0" xr:uid="{46E4284E-7351-4C59-9B3F-4C320AF7548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Cash = plug.</t>
        </r>
      </text>
    </comment>
    <comment ref="L4" authorId="0" shapeId="0" xr:uid="{1204CC62-8EA7-4574-83F0-3F30D8EB65B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Cash = plug.</t>
        </r>
      </text>
    </comment>
    <comment ref="M4" authorId="0" shapeId="0" xr:uid="{AEEC02C1-BB6A-4324-88B2-B8113BA5DC7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Cash = plug.</t>
        </r>
      </text>
    </comment>
    <comment ref="N4" authorId="0" shapeId="0" xr:uid="{E21EF4DF-FD30-4920-9862-4456B8E086D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Cash = plug.</t>
        </r>
      </text>
    </comment>
    <comment ref="O4" authorId="0" shapeId="0" xr:uid="{4F7883F4-31C5-47CA-A793-78CC28E9B68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Cash = plug.</t>
        </r>
      </text>
    </comment>
    <comment ref="C5" authorId="0" shapeId="0" xr:uid="{0499E5C4-57B6-4C18-B4D0-68C1BDAF20B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actual: Other Current Financial Assets (includes EWA loan book, advances).</t>
        </r>
      </text>
    </comment>
    <comment ref="D5" authorId="0" shapeId="0" xr:uid="{52FCC8D4-54F8-44B1-819E-C6402AA2BF9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actual: Other Current Financial Assets.</t>
        </r>
      </text>
    </comment>
    <comment ref="E5" authorId="0" shapeId="0" xr:uid="{38E6F036-F223-476C-85C9-2E9428F0CEB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actual: Other Current Financial Assets (loan book + advances).</t>
        </r>
      </text>
    </comment>
    <comment ref="F5" authorId="0" shapeId="0" xr:uid="{3D8A34A8-2C1B-4943-A097-86E5BA89AA8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actual: Other Current Financial Assets (loan book + advances).</t>
        </r>
      </text>
    </comment>
    <comment ref="C6" authorId="0" shapeId="0" xr:uid="{970BD31A-A514-4B9F-A4EE-544048A394B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actual: Current Investments.</t>
        </r>
      </text>
    </comment>
    <comment ref="D6" authorId="0" shapeId="0" xr:uid="{8FE88B2D-9BAB-4CCD-B297-5CE819FCF89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actual: Current Investments.</t>
        </r>
      </text>
    </comment>
    <comment ref="E6" authorId="0" shapeId="0" xr:uid="{FD835719-C338-4551-9D2D-4303A889626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actual: Non-Current Investment 0.05.</t>
        </r>
      </text>
    </comment>
    <comment ref="F6" authorId="0" shapeId="0" xr:uid="{4D929E90-0A5B-417E-8E37-0AB16B7A62C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actual: Investment = 0 per filing. Non-Current Investment 0.05 included in Other Assets.</t>
        </r>
      </text>
    </comment>
    <comment ref="C7" authorId="0" shapeId="0" xr:uid="{94417CAB-C2FE-4BFF-AE1C-F168B172609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actual: Fixed Assets (Net) per filing.</t>
        </r>
      </text>
    </comment>
    <comment ref="D7" authorId="0" shapeId="0" xr:uid="{25FCCAB4-8FB4-4155-B1FD-FB06B73CCDA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actual: Fixed Assets (Net).</t>
        </r>
      </text>
    </comment>
    <comment ref="E7" authorId="0" shapeId="0" xr:uid="{2309ADFB-485D-4CB0-8FBF-BCCEED91E13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actual: Fixed Assets (Net).</t>
        </r>
      </text>
    </comment>
    <comment ref="F7" authorId="0" shapeId="0" xr:uid="{7B5779BE-49F2-4736-8D55-1BC10FB0B3A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actual: Fixed Assets (Net) per filing.</t>
        </r>
      </text>
    </comment>
    <comment ref="G7" authorId="0" shapeId="0" xr:uid="{FEE3EE63-1ADF-4F0F-B10C-5BAA21152FC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Slight increase from FY25 actual 0.68. Low capex company (asset-light fintech model).</t>
        </r>
      </text>
    </comment>
    <comment ref="C8" authorId="0" shapeId="0" xr:uid="{722D695C-049D-4AD2-ABC0-FD6172EB089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actual: Trade Receivables 0.70 + Other NCA Fin Assets 0.57 + Deferred Tax 0.01 + Misc 0.00 = 1.28</t>
        </r>
      </text>
    </comment>
    <comment ref="D8" authorId="0" shapeId="0" xr:uid="{FCCAEEF5-96F8-43E8-A614-7B83B0AB2CE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actual: Other NCA Fin 0.60 + Trade Recv 0.68 + Misc 0.01.</t>
        </r>
      </text>
    </comment>
    <comment ref="E8" authorId="0" shapeId="0" xr:uid="{0197A780-4D71-4EC1-869F-D7AC8FA565A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actual: Trade Recv 1.66 + Other Current Assets 4.55 + Misc 0.10.</t>
        </r>
      </text>
    </comment>
    <comment ref="F8" authorId="0" shapeId="0" xr:uid="{8B9F9BCC-0A2C-4802-9CF9-CECCE55E08C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actual: Trade Recv 2.11 + Other Current Assets 4.59 + Misc 0.04 + NCI 0.05 + Other NCA 0.01 = 6.80</t>
        </r>
      </text>
    </comment>
    <comment ref="C12" authorId="0" shapeId="0" xr:uid="{BC079C45-F494-4DB4-AF19-331A780235E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actual: Equity per filing.</t>
        </r>
      </text>
    </comment>
    <comment ref="D12" authorId="0" shapeId="0" xr:uid="{F2A1C796-80AA-402C-AAE9-53A39E32273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actual: Equity per filing.</t>
        </r>
      </text>
    </comment>
    <comment ref="E12" authorId="0" shapeId="0" xr:uid="{6C7FFE9A-FEBB-4B80-9BB9-F69F3FA0DBB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actual: Equity per filing. Same as FY23 — no new equity issuance in FY24.</t>
        </r>
      </text>
    </comment>
    <comment ref="F12" authorId="0" shapeId="0" xr:uid="{37CA93A3-7750-49C5-9441-8409E412EE9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actual: Equity Capital per filing.</t>
        </r>
      </text>
    </comment>
    <comment ref="C13" authorId="0" shapeId="0" xr:uid="{B78E45FF-D1A2-46B6-A18C-B4D2EE21C9C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actual: Other Equity per filing.</t>
        </r>
      </text>
    </comment>
    <comment ref="D13" authorId="0" shapeId="0" xr:uid="{82F79D51-F6E0-4F21-8561-F96514BD698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actual: Other Equity per filing.</t>
        </r>
      </text>
    </comment>
    <comment ref="E13" authorId="0" shapeId="0" xr:uid="{2FFD9C88-EA14-442D-807A-833F0853396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actual: Other Equity per filing.</t>
        </r>
      </text>
    </comment>
    <comment ref="F13" authorId="0" shapeId="0" xr:uid="{FE226C52-C3E8-446A-84ED-D601EE17E2F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actual: Other Equity per filing. Includes Securities Premium, Retained Earnings, etc.</t>
        </r>
      </text>
    </comment>
    <comment ref="C15" authorId="0" shapeId="0" xr:uid="{0EFF05DB-69F7-408C-B631-60D87C399B1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actual: Short Term Borrowings 4.85 + Long Term 0.00.</t>
        </r>
      </text>
    </comment>
    <comment ref="D15" authorId="0" shapeId="0" xr:uid="{D94BC227-712C-4D64-AC11-A70DA662A3A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actual: Short Term Borrowings 4.28 + Long Term 0.00.</t>
        </r>
      </text>
    </comment>
    <comment ref="E15" authorId="0" shapeId="0" xr:uid="{C6BE8F27-3CCF-4D2D-9CB6-400A579D1A6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actual: Long Term Borrowing 14.53 + Short Term 0.00.</t>
        </r>
      </text>
    </comment>
    <comment ref="F15" authorId="0" shapeId="0" xr:uid="{5EBFE86A-E39D-4DC8-B956-742FF534C69A}">
      <text>
        <r>
          <rPr>
            <b/>
            <sz val="9"/>
            <color indexed="81"/>
            <rFont val="Tahoma"/>
            <family val="2"/>
          </rPr>
          <t>FY25 actual: Long Term Borrowing 15.60 + Short Term 0.00 = 15.60 per filing.</t>
        </r>
      </text>
    </comment>
    <comment ref="G15" authorId="0" shapeId="0" xr:uid="{B0F60E9D-4B7E-4442-9253-63A685F96C2B}">
      <text>
        <r>
          <rPr>
            <b/>
            <sz val="9"/>
            <color indexed="81"/>
            <rFont val="Tahoma"/>
            <family val="2"/>
          </rPr>
          <t>Debt = Net Worth × Target D/E (0.20x). Low-leverage approach consistent with Emerald's capital structure.</t>
        </r>
      </text>
    </comment>
    <comment ref="H15" authorId="0" shapeId="0" xr:uid="{A5D40965-B52B-4111-A18A-06FAD396471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 = Net Worth × Target D/E (0.25x).</t>
        </r>
      </text>
    </comment>
    <comment ref="I15" authorId="0" shapeId="0" xr:uid="{85AA57A0-7E4F-47A1-85C1-1E16CF145AC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 = Net Worth × Target D/E (0.30x).</t>
        </r>
      </text>
    </comment>
    <comment ref="J15" authorId="0" shapeId="0" xr:uid="{7009EF5D-116F-42AA-B7C2-AD05B365086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 = Net Worth × Target D/E (0.35x).</t>
        </r>
      </text>
    </comment>
    <comment ref="K15" authorId="0" shapeId="0" xr:uid="{0266E326-57A0-41CD-AF67-4E5886B561E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 = Net Worth × Target D/E (0.38x).</t>
        </r>
      </text>
    </comment>
    <comment ref="L15" authorId="0" shapeId="0" xr:uid="{AAA1E8D3-6AD2-4207-97D2-1AC55C8CC61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 = Net Worth × Target D/E (0.40x).</t>
        </r>
      </text>
    </comment>
    <comment ref="M15" authorId="0" shapeId="0" xr:uid="{9DA4D754-CB21-4805-AFC7-521BF6E7C5D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 = Net Worth × Target D/E (0.42x).</t>
        </r>
      </text>
    </comment>
    <comment ref="N15" authorId="0" shapeId="0" xr:uid="{34114AB5-EDA8-4BCE-A215-9036AA82FA7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 = Net Worth × Target D/E (0.43x).</t>
        </r>
      </text>
    </comment>
    <comment ref="O15" authorId="0" shapeId="0" xr:uid="{0DBF82E1-16B7-4F27-B35B-ED256BFF29F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 = Net Worth × Target D/E (0.45x).</t>
        </r>
      </text>
    </comment>
    <comment ref="P15" authorId="0" shapeId="0" xr:uid="{31E1AFA0-9320-4FA0-8364-192E71D2FCA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 = Net Worth × Target D/E (0.45x).</t>
        </r>
      </text>
    </comment>
    <comment ref="A16" authorId="0" shapeId="0" xr:uid="{621E77B6-53AA-4265-835C-B01979F5A545}">
      <text>
        <r>
          <rPr>
            <sz val="9"/>
            <color indexed="81"/>
            <rFont val="Tahoma"/>
            <family val="2"/>
          </rPr>
          <t>= 17.3% × PAT + STP% × AUM + 2.4% × Revenue</t>
        </r>
      </text>
    </comment>
    <comment ref="C16" authorId="0" shapeId="0" xr:uid="{879D8622-B84C-412F-A5D4-BE80565D8F7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includes Minority Interest 0.57, Trade Payables 0.26, Provisions 0.97, Other Current Liab 0.61, Debt Securities 1.96, Other Non-fin 0.71.</t>
        </r>
      </text>
    </comment>
    <comment ref="D16" authorId="0" shapeId="0" xr:uid="{B6BB8786-1B34-4758-A39C-51A1EDAEF5D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includes Minority Interest 0.83, Trade Payables 0.33, Provisions 1.40, Other 1.75.</t>
        </r>
      </text>
    </comment>
    <comment ref="E16" authorId="0" shapeId="0" xr:uid="{506D1BA4-DB23-45CF-AF26-B0D024DB293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includes Minority Interest 1.04, Other Current Liab 0.65, Short Term Provision 1.75.</t>
        </r>
      </text>
    </comment>
    <comment ref="G16" authorId="0" shapeId="0" xr:uid="{835E013A-CFC9-4EC3-B8A6-1634124D2EB6}">
      <text>
        <r>
          <rPr>
            <b/>
            <sz val="9"/>
            <color indexed="81"/>
            <rFont val="Tahoma"/>
            <family val="2"/>
          </rPr>
          <t>Component build-up (3 items):
• Minority Interest = 17.3% of PAT (FY25 actual: ₹1.50/₹8.68)
• Short Term Provision = 4.0% of AUM (FY25: ₹3.57/₹80.69 = 4.4%; normalizing)
• Other Current Liab = 2.4% of Revenue (FY25: ₹0.52/₹21.57)
LT Provision excluded - zero in FY24 and FY25 per filing.</t>
        </r>
      </text>
    </comment>
    <comment ref="P16" authorId="0" shapeId="0" xr:uid="{41ABC03C-989B-4F2F-8445-DA73DF3F8A89}">
      <text>
        <r>
          <rPr>
            <b/>
            <sz val="9"/>
            <color indexed="81"/>
            <rFont val="Tahoma"/>
            <family val="2"/>
          </rPr>
          <t>Component build-up:
• MI = 17.3% × PAT ₹111.18 = ₹19.23
• STP = 3.0% × AUM ₹750 = ₹22.50
• OCL = 2.4% × Rev ₹222.63 = ₹5.34
• LTP = ₹0.65
Total ≈ ₹47.72 Cr</t>
        </r>
      </text>
    </comment>
    <comment ref="F27" authorId="0" shapeId="0" xr:uid="{9F0FDB96-786A-48FD-A9C4-388FC3E159B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AGM Sept 2025, Rs 0.09/share dividend</t>
        </r>
      </text>
    </comment>
    <comment ref="G27" authorId="0" shapeId="0" xr:uid="{A307A18A-F7ED-47BA-994D-6B4B0C32915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Growing dividend. Payout ratio ~3%.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C6" authorId="0" shapeId="0" xr:uid="{2F538067-2BA5-4C5C-9A12-1CB30DFA9DD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actual depreciation per filing.</t>
        </r>
      </text>
    </comment>
    <comment ref="D6" authorId="0" shapeId="0" xr:uid="{F3DA3503-1EDD-4A55-835B-9D70F2AAE6F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actual depreciation.</t>
        </r>
      </text>
    </comment>
    <comment ref="E6" authorId="0" shapeId="0" xr:uid="{5631FDEB-E387-483F-9A73-D438217DB2E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actual depreciation.</t>
        </r>
      </text>
    </comment>
    <comment ref="F6" authorId="0" shapeId="0" xr:uid="{1D7EAC84-B640-4574-A5CF-582C18C8ED0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depreciation</t>
        </r>
      </text>
    </comment>
    <comment ref="C7" authorId="0" shapeId="0" xr:uid="{E9C2A75B-30CB-4D0F-8BB7-11D68E74452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actual provisions per P&amp;L.</t>
        </r>
      </text>
    </comment>
    <comment ref="D7" authorId="0" shapeId="0" xr:uid="{221A38FC-D84D-4EC3-8AEF-EC979B148DF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FY23 provisions.</t>
        </r>
      </text>
    </comment>
    <comment ref="E7" authorId="0" shapeId="0" xr:uid="{BB6DF21D-1049-4015-90CC-2074E905FB0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no P&amp;L provisions.</t>
        </r>
      </text>
    </comment>
    <comment ref="F7" authorId="0" shapeId="0" xr:uid="{C884FC77-644A-4C0C-B2F2-100DCD16B42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provisions</t>
        </r>
      </text>
    </comment>
    <comment ref="C8" authorId="0" shapeId="0" xr:uid="{9DA75EF1-3763-4F6E-8C21-78B62D0045A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FY22: No prior year data, using closing loan book as proxy.</t>
        </r>
      </text>
    </comment>
    <comment ref="D8" authorId="0" shapeId="0" xr:uid="{52EF763E-4B67-48F0-9088-76CD500380E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Change in loan book: -(44.28-42.01) = -2.27</t>
        </r>
      </text>
    </comment>
    <comment ref="E8" authorId="0" shapeId="0" xr:uid="{6F0F3B4C-A226-4A93-85E4-8C2A9518A24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Change in loan book: -(55.04-44.28) = -10.76</t>
        </r>
      </text>
    </comment>
    <comment ref="F8" authorId="0" shapeId="0" xr:uid="{1E35E874-3A56-4DC4-9626-665FE402B22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Change in loan book</t>
        </r>
      </text>
    </comment>
    <comment ref="C9" authorId="0" shapeId="0" xr:uid="{E877EDA2-1F72-40F5-BFCA-DC4DDCD1801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 to reconcile. Absorbs opening BS items not available.</t>
        </r>
      </text>
    </comment>
    <comment ref="D9" authorId="0" shapeId="0" xr:uid="{4D979CCD-C296-4919-A94E-B963159B986A}">
      <text>
        <r>
          <rPr>
            <b/>
            <sz val="9"/>
            <color indexed="81"/>
            <rFont val="Tahoma"/>
            <family val="2"/>
          </rPr>
          <t>Plug: Working capital and other BS movements to reconcile to actual cash change.</t>
        </r>
      </text>
    </comment>
    <comment ref="E9" authorId="0" shapeId="0" xr:uid="{D3DB82DA-E26F-48AA-B12D-483A3AD5F6E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 to reconcile cash.</t>
        </r>
      </text>
    </comment>
    <comment ref="F9" authorId="0" shapeId="0" xr:uid="{B87BA0C4-73A3-495E-9552-878B1F4662D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 to reconcile cash.</t>
        </r>
      </text>
    </comment>
    <comment ref="C13" authorId="0" shapeId="0" xr:uid="{D4A7F2F0-61C1-4BAB-888F-335FD69E92D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gross capex (no prior year FA).</t>
        </r>
      </text>
    </comment>
    <comment ref="D13" authorId="0" shapeId="0" xr:uid="{8E07896D-F976-401B-8412-163CCEF5213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Capex = -(new FA - old FA + depreciation)</t>
        </r>
      </text>
    </comment>
    <comment ref="E13" authorId="0" shapeId="0" xr:uid="{B9371186-2044-4AFC-AE1A-ADA7AB4AEE3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Capex</t>
        </r>
      </text>
    </comment>
    <comment ref="F13" authorId="0" shapeId="0" xr:uid="{7DC60F82-F9F0-45BD-B507-90150D86F95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Capex = -(Net FA change + Depreciation). FY25: -(0.68 - 0.50 + 0.08) = -0.26. Per filing.</t>
        </r>
      </text>
    </comment>
    <comment ref="C14" authorId="0" shapeId="0" xr:uid="{F3095259-B18F-475D-8F29-1FAFBF63948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investments.</t>
        </r>
      </text>
    </comment>
    <comment ref="D14" authorId="0" shapeId="0" xr:uid="{FD7CDBDA-71DC-439A-BA80-8CEAF09614A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Change in investments</t>
        </r>
      </text>
    </comment>
    <comment ref="E14" authorId="0" shapeId="0" xr:uid="{EAABEFF6-2DE5-44FC-B31F-43A6865ABB9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Change in investments</t>
        </r>
      </text>
    </comment>
    <comment ref="F14" authorId="0" shapeId="0" xr:uid="{4208A87D-DBF4-470D-A959-7E69C5A566E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Change in Investments. FY25: -(0 - 0.05) = +0.05. Investments sold/redeemed.</t>
        </r>
      </text>
    </comment>
    <comment ref="C18" authorId="0" shapeId="0" xr:uid="{94499D3F-3929-43A5-AF46-1331F6EEF1C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closing borrowings (no prior year).</t>
        </r>
      </text>
    </comment>
    <comment ref="D18" authorId="0" shapeId="0" xr:uid="{710BA0FB-259B-4494-881E-F58B9856765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Net borrowings: 4.28 - 4.85 = -0.57</t>
        </r>
      </text>
    </comment>
    <comment ref="E18" authorId="0" shapeId="0" xr:uid="{04579AC1-12CA-4AB2-B0CB-2597C66FD40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Net borrowings: 14.53 - 4.28 = 10.25</t>
        </r>
      </text>
    </comment>
    <comment ref="F18" authorId="0" shapeId="0" xr:uid="{2741545C-4F72-4E0B-B10F-213BD72BB13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Net borrowings: 15.60 - 14.53 = 1.07. Only modest increase in borrowings, consistent with low-leverage profile.</t>
        </r>
      </text>
    </comment>
    <comment ref="C19" authorId="0" shapeId="0" xr:uid="{7582FDBC-E95C-4148-962A-88FC2E0B97A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FY22 equity capital.</t>
        </r>
      </text>
    </comment>
    <comment ref="D19" authorId="0" shapeId="0" xr:uid="{FEDDF7A8-8076-4668-8C5C-77D48815CD8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Equity raised: 30.14 - 29.04 = 1.10</t>
        </r>
      </text>
    </comment>
    <comment ref="E19" authorId="0" shapeId="0" xr:uid="{A3274C10-F290-4D5F-9BE2-BDD7FA37559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Equity raised: 30.14 - 30.14 = 0</t>
        </r>
      </text>
    </comment>
    <comment ref="F19" authorId="0" shapeId="0" xr:uid="{3685F9B6-F7A6-4071-A9B6-0A970796238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Equity raised: 34.54 - 30.14 = 4.40. FY25 equity issuance (7.65 lakh shares @ ₹131).</t>
        </r>
      </text>
    </comment>
    <comment ref="E20" authorId="0" shapeId="0" xr:uid="{FBB7587E-752D-4B50-88EF-9613475EDF1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Dividends paid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25" authorId="0" shapeId="0" xr:uid="{199464B9-A601-43FD-BA6D-227ABA203F04}">
      <text>
        <r>
          <rPr>
            <b/>
            <sz val="9"/>
            <color indexed="81"/>
            <rFont val="Tahoma"/>
            <family val="2"/>
          </rPr>
          <t>Risk-free 7% + Beta 1.2 x Market premium 6% = ~14%. High for small NBFC.</t>
        </r>
      </text>
    </comment>
    <comment ref="B26" authorId="0" shapeId="0" xr:uid="{FCE6EC7E-A6CF-414F-9D68-4901E9A45AEB}">
      <text>
        <r>
          <rPr>
            <b/>
            <sz val="9"/>
            <color indexed="81"/>
            <rFont val="Tahoma"/>
            <family val="2"/>
          </rPr>
          <t>India nominal GDP growth ~10-11%. Conservative 5% for NBFC.</t>
        </r>
      </text>
    </comment>
    <comment ref="B27" authorId="0" shapeId="0" xr:uid="{3E2C2BD6-0525-4AFE-ADE2-CED22A8F07F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Current Book Value per Share from Balance Sheet FY26E</t>
        </r>
      </text>
    </comment>
    <comment ref="G28" authorId="0" shapeId="0" xr:uid="{45AC137B-B4EC-4A60-A07D-66EAD5D28B2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Excess Return = (ROE - Ke) × Beginning BVPS</t>
        </r>
      </text>
    </comment>
    <comment ref="K31" authorId="0" shapeId="0" xr:uid="{E4382188-D2AB-4908-B166-AB83F60D83F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Terminal value of excess returns = ER_terminal × (1+g)/(Ke-g) × DF_5</t>
        </r>
      </text>
    </comment>
    <comment ref="G32" authorId="0" shapeId="0" xr:uid="{AD63184D-537C-44F4-881A-8DFDD555863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RI Value = Current BVPS + PV of Excess Returns + PV of Terminal Excess</t>
        </r>
      </text>
    </comment>
    <comment ref="B37" authorId="0" shapeId="0" xr:uid="{6BCA4E32-8C36-42C8-B73D-9379DD4E790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Same Ke as RI model: Risk-free 7% + Beta 1.2 × ERP 6% = 14%</t>
        </r>
      </text>
    </comment>
    <comment ref="B38" authorId="0" shapeId="0" xr:uid="{B52E9CF2-9117-4935-92F5-971658D339A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Conservative 5% for NBFC. India nominal GDP ~10-11%.</t>
        </r>
      </text>
    </comment>
    <comment ref="B53" authorId="0" shapeId="0" xr:uid="{51CB2B32-57EE-4BFA-A965-9B0B75CFC51A}">
      <text>
        <r>
          <rPr>
            <b/>
            <sz val="9"/>
            <color indexed="81"/>
            <rFont val="Tahoma"/>
            <family val="2"/>
          </rPr>
          <t>Terminal Value = FY35E FCFE × (1+g)/(Ke-g) × Discount Factor Year 10.
Gordon Growth Model on terminal year FCFE.
With low leverage (0.45x D/E cap), FCFE is robust — ~52% of PAT flows as FCFE by FY35E.</t>
        </r>
      </text>
    </comment>
    <comment ref="G55" authorId="0" shapeId="0" xr:uid="{50BE7096-A014-47F3-89C1-A162A4ABFAE1}">
      <text>
        <r>
          <rPr>
            <b/>
            <sz val="9"/>
            <color indexed="81"/>
            <rFont val="Tahoma"/>
            <family val="2"/>
          </rPr>
          <t>DCF (FCFE) Fair Value per Share.
FCFE approach is appropriate for NBFCs since debt is an operating item.
With Emerald's low leverage (D/E 0.20-0.45x), most earnings convert to FCFE.
DCF value reflects the company's ability to generate equity cash flows without relying heavily on external borrowings.</t>
        </r>
      </text>
    </comment>
    <comment ref="B58" authorId="0" shapeId="0" xr:uid="{8F9BEAF4-A4E9-423A-9259-109FD3CE967F}">
      <text>
        <r>
          <rPr>
            <b/>
            <sz val="9"/>
            <color indexed="81"/>
            <rFont val="Tahoma"/>
            <family val="2"/>
          </rPr>
          <t>Conservative 20x for high-growth small NBFC. Peers trade at 15-30x. EWA moat justifies premium.</t>
        </r>
      </text>
    </comment>
    <comment ref="D58" authorId="0" shapeId="0" xr:uid="{1FE99B6F-9D11-4DC7-9C3D-44C07F6825C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Slightly lower as growth moderates from 43% to 36%</t>
        </r>
      </text>
    </comment>
    <comment ref="E58" authorId="0" shapeId="0" xr:uid="{512C8301-7B51-4501-AA14-B824EAEC9C8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Slightly lower as growth moderates</t>
        </r>
      </text>
    </comment>
    <comment ref="H58" authorId="0" shapeId="0" xr:uid="{4D9DBDE8-C16A-4788-80AA-24EFC0AACD2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Re-rating as growth decelerates</t>
        </r>
      </text>
    </comment>
    <comment ref="B62" authorId="0" shapeId="0" xr:uid="{94FAFA63-B5C3-4DA0-AD20-79AC4B320887}">
      <text>
        <r>
          <rPr>
            <b/>
            <sz val="9"/>
            <color indexed="81"/>
            <rFont val="Tahoma"/>
            <family val="2"/>
          </rPr>
          <t>Small NBFC with ROE of ~20% (FY27E). Peers trade at 1.5-4x P/B. Premium justified by: (a) asset-light, tech-driven model, (b) low-CAC EWA customer acquisition channel, (c) minimal leverage risk (D/E 0.25x vs peers 3-5x), (d) strong book value compounding from high profitability.</t>
        </r>
      </text>
    </comment>
    <comment ref="D62" authorId="0" shapeId="0" xr:uid="{EDA7C551-AB9F-49CC-8DCB-18F87045E6F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Moderating as ROE stabilizes around 26-27%</t>
        </r>
      </text>
    </comment>
    <comment ref="E62" authorId="0" shapeId="0" xr:uid="{55EF1F57-7D14-413D-AABC-9DA1884D223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Moderating ROE = lower P/B</t>
        </r>
      </text>
    </comment>
    <comment ref="D67" authorId="0" shapeId="0" xr:uid="{785B6D25-7E45-49CA-BD8A-1CC5CE5D1C2F}">
      <text>
        <r>
          <rPr>
            <b/>
            <sz val="9"/>
            <color indexed="81"/>
            <rFont val="Tahoma"/>
            <family val="2"/>
          </rPr>
          <t>Reduced from 35% to 30%. RI remains the best methodology for NBFCs — directly captures value creation from excess ROE (19-21%) over cost of equity (14%). However, with DCF now more meaningful due to corrected low-leverage profile, some weight shifted to DCF.</t>
        </r>
      </text>
    </comment>
    <comment ref="D68" authorId="0" shapeId="0" xr:uid="{D393EAF5-028D-4181-A6B8-CFFDFBBF7205}">
      <text>
        <r>
          <rPr>
            <b/>
            <sz val="9"/>
            <color indexed="81"/>
            <rFont val="Tahoma"/>
            <family val="2"/>
          </rPr>
          <t>Increased from 15% to 20%. DCF (FCFE) is now a meaningful valuation method — Emerald's low leverage (0.18-0.45x D/E) means minimal interest burden, so FCFE closely tracks PAT. No longer a mere 'valuation floor'. Weight balanced with RI (30%) as both capture different aspects of value creation.</t>
        </r>
      </text>
    </comment>
    <comment ref="F68" authorId="0" shapeId="0" xr:uid="{AC897E58-7FE2-4F60-B2E2-88CBC12B740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DCF (FCFE) now reflects Emerald's low-leverage profile. With D/E capped at 0.20-0.45x (vs NBFC peers at 3-5x), minimal interest burden leaves most operating cash flow available as FCFE. Value increased from ₹23 → ₹88/share after correcting the leverage assumptions to match actual D/E of ~0.18x (FY25).</t>
        </r>
      </text>
    </comment>
    <comment ref="D69" authorId="0" shapeId="0" xr:uid="{C478D62B-6106-4F09-A2D3-17BD4D6BEA1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Reduced from 35% to 30%. P/E captures earnings momentum and market re-rating potential.</t>
        </r>
      </text>
    </comment>
    <comment ref="D70" authorId="0" shapeId="0" xr:uid="{1CAA4C44-D5A7-4219-8250-AEC6B1CDAFE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Reduced from 25% to 20%. P/B captures equity compounding and ROE premium.</t>
        </r>
      </text>
    </comment>
    <comment ref="C116" authorId="0" shapeId="0" xr:uid="{410FC15E-4B9F-4349-BEBC-7364957F02C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ROE = Operating ROA + Leverage × (Operating ROA − Borrowing Cost After Tax)</t>
        </r>
      </text>
    </comment>
  </commentList>
</comments>
</file>

<file path=xl/sharedStrings.xml><?xml version="1.0" encoding="utf-8"?>
<sst xmlns="http://schemas.openxmlformats.org/spreadsheetml/2006/main" count="568" uniqueCount="308">
  <si>
    <t>EMERALD FINANCE LTD - KEY ASSUMPTIONS &amp; DRIVERS</t>
  </si>
  <si>
    <t>All figures in ₹ Crores unless stated otherwise | Consolidated Basis</t>
  </si>
  <si>
    <t>HISTORICAL FINANCIALS (Consolidated)</t>
  </si>
  <si>
    <t>FY23</t>
  </si>
  <si>
    <t>FY24</t>
  </si>
  <si>
    <t>FY25</t>
  </si>
  <si>
    <t>FY26E</t>
  </si>
  <si>
    <t>FY27E</t>
  </si>
  <si>
    <t>FY28E</t>
  </si>
  <si>
    <t>FY29E</t>
  </si>
  <si>
    <t>Total Income (₹ Cr)</t>
  </si>
  <si>
    <t>Actual/Est</t>
  </si>
  <si>
    <t>YoY Growth (%)</t>
  </si>
  <si>
    <t>Net Profit (₹ Cr)</t>
  </si>
  <si>
    <t>PAT Growth (%)</t>
  </si>
  <si>
    <t>REVENUE ASSUMPTIONS &amp; DRIVERS</t>
  </si>
  <si>
    <t>Revenue from Operations (₹ Cr)</t>
  </si>
  <si>
    <t>Revenue Growth (%)</t>
  </si>
  <si>
    <t>Assumed</t>
  </si>
  <si>
    <t>Corporates Onboarded (Cumulative)</t>
  </si>
  <si>
    <t>#</t>
  </si>
  <si>
    <t>Monthly EWA Disbursements (₹ Cr)</t>
  </si>
  <si>
    <t>₹ Cr/month</t>
  </si>
  <si>
    <t>EWA IRR / Yield (%)</t>
  </si>
  <si>
    <t>₹ Cr/qtr</t>
  </si>
  <si>
    <t>Syndication Fee (%)</t>
  </si>
  <si>
    <t>PROFITABILITY ASSUMPTIONS</t>
  </si>
  <si>
    <t>Employee Cost (% of Revenue)</t>
  </si>
  <si>
    <t>Other OpEx (% of Revenue)</t>
  </si>
  <si>
    <t>Interest/Finance Cost (₹ Cr)</t>
  </si>
  <si>
    <t>Tax Rate (Effective %)</t>
  </si>
  <si>
    <t>BALANCE SHEET ASSUMPTIONS</t>
  </si>
  <si>
    <t>AUM / Loan Book (₹ Cr)</t>
  </si>
  <si>
    <t>Equity Capital (₹ Cr)</t>
  </si>
  <si>
    <t>Shares Outstanding (Cr)</t>
  </si>
  <si>
    <t>NPA Rate (%)</t>
  </si>
  <si>
    <t>x</t>
  </si>
  <si>
    <t>MANAGEMENT GUIDANCE TRACKER</t>
  </si>
  <si>
    <t>Guidance Item</t>
  </si>
  <si>
    <t>Timeline</t>
  </si>
  <si>
    <t>Target</t>
  </si>
  <si>
    <t>Status</t>
  </si>
  <si>
    <t>Comment</t>
  </si>
  <si>
    <t>PAT Growth</t>
  </si>
  <si>
    <t>By FY27</t>
  </si>
  <si>
    <t>8-10x of FY24 base</t>
  </si>
  <si>
    <t>ON TRACK</t>
  </si>
  <si>
    <t>Monthly EWA Disbursement</t>
  </si>
  <si>
    <t>₹15 Cr/month</t>
  </si>
  <si>
    <t>EWA Corporates Onboarded</t>
  </si>
  <si>
    <t>By Mar-26</t>
  </si>
  <si>
    <t>250 corporates</t>
  </si>
  <si>
    <t>MISS (REVISED)</t>
  </si>
  <si>
    <t>AUM Target</t>
  </si>
  <si>
    <t>5-6 years</t>
  </si>
  <si>
    <t>₹200-300 Cr</t>
  </si>
  <si>
    <t>Zero NPA</t>
  </si>
  <si>
    <t>Ongoing</t>
  </si>
  <si>
    <t>Maintain &lt;0.5%</t>
  </si>
  <si>
    <t>One-off ₹26 lakh NPA in Q3 FY26 (₹17 lakh recovered). Historical NPA 0.4-0.5%. Prudent underwriting.</t>
  </si>
  <si>
    <t>KEY MODELLING RATIONALE</t>
  </si>
  <si>
    <t>EMERALD FINANCE LTD - CONSOLIDATED INCOME STATEMENT</t>
  </si>
  <si>
    <t>(₹ Crores)</t>
  </si>
  <si>
    <t>Particulars</t>
  </si>
  <si>
    <t>FY22</t>
  </si>
  <si>
    <t>FY30E</t>
  </si>
  <si>
    <t>Revenue from Operations</t>
  </si>
  <si>
    <t>Other Income</t>
  </si>
  <si>
    <t>Total Income</t>
  </si>
  <si>
    <t>Expenses:</t>
  </si>
  <si>
    <t xml:space="preserve">  Employee Cost</t>
  </si>
  <si>
    <t xml:space="preserve">  Other Expenses</t>
  </si>
  <si>
    <t>Total Expenditure</t>
  </si>
  <si>
    <t>EBITDA</t>
  </si>
  <si>
    <t xml:space="preserve">  EBITDA Margin (%)</t>
  </si>
  <si>
    <t xml:space="preserve">  Interest / Finance Cost</t>
  </si>
  <si>
    <t xml:space="preserve">  Depreciation</t>
  </si>
  <si>
    <t xml:space="preserve">  Provisions / Credit Costs</t>
  </si>
  <si>
    <t>Profit Before Tax (PBT)</t>
  </si>
  <si>
    <t xml:space="preserve">  Tax Expense</t>
  </si>
  <si>
    <t>Net Profit (PAT)</t>
  </si>
  <si>
    <t>KEY MARGINS &amp; RATIOS</t>
  </si>
  <si>
    <t xml:space="preserve">  PAT Margin (%)</t>
  </si>
  <si>
    <t xml:space="preserve">  EPS (₹)</t>
  </si>
  <si>
    <t xml:space="preserve">  PAT Growth YoY (%)</t>
  </si>
  <si>
    <t>EMERALD FINANCE LTD - CONSOLIDATED BALANCE SHEET</t>
  </si>
  <si>
    <t>ASSETS</t>
  </si>
  <si>
    <t>Cash &amp; Bank Balances</t>
  </si>
  <si>
    <t>Loan Book / Advances (AUM)</t>
  </si>
  <si>
    <t>Investments</t>
  </si>
  <si>
    <t>Fixed Assets (Net)</t>
  </si>
  <si>
    <t>Other Assets</t>
  </si>
  <si>
    <t>Total Assets</t>
  </si>
  <si>
    <t>LIABILITIES &amp; EQUITY</t>
  </si>
  <si>
    <t>Equity Capital</t>
  </si>
  <si>
    <t>Reserves &amp; Surplus</t>
  </si>
  <si>
    <t>Net Worth (Equity)</t>
  </si>
  <si>
    <t>Borrowings (Total Debt)</t>
  </si>
  <si>
    <t>Other Liabilities</t>
  </si>
  <si>
    <t>Total Liabilities &amp; Equity</t>
  </si>
  <si>
    <t>BS CHECK (Assets - L&amp;E)</t>
  </si>
  <si>
    <t>KEY BS RATIOS</t>
  </si>
  <si>
    <t xml:space="preserve">  ROE (%)</t>
  </si>
  <si>
    <t xml:space="preserve">  ROA (%)</t>
  </si>
  <si>
    <t xml:space="preserve">  Debt/Equity (x)</t>
  </si>
  <si>
    <t xml:space="preserve">  Book Value per Share (₹)</t>
  </si>
  <si>
    <t>Dividend Payout (₹/share)</t>
  </si>
  <si>
    <t>Total Dividends (₹ Cr)</t>
  </si>
  <si>
    <t>EMERALD FINANCE LTD - CONSOLIDATED CASH FLOW STATEMENT</t>
  </si>
  <si>
    <t>A. CASH FROM OPERATIONS</t>
  </si>
  <si>
    <t xml:space="preserve">  Net Profit (PAT)</t>
  </si>
  <si>
    <t xml:space="preserve">  (+) Depreciation</t>
  </si>
  <si>
    <t xml:space="preserve">  (+) Provisions</t>
  </si>
  <si>
    <t xml:space="preserve">  (-) Change in Loan Book</t>
  </si>
  <si>
    <t xml:space="preserve">  (-) Change in Other WC</t>
  </si>
  <si>
    <t>Cash from Operations (CFO)</t>
  </si>
  <si>
    <t>B. CASH FROM INVESTING</t>
  </si>
  <si>
    <t xml:space="preserve">  (-) Capex / Fixed Assets</t>
  </si>
  <si>
    <t xml:space="preserve">  (-) Change in Investments</t>
  </si>
  <si>
    <t>Cash from Investing (CFI)</t>
  </si>
  <si>
    <t>C. CASH FROM FINANCING</t>
  </si>
  <si>
    <t xml:space="preserve">  Net Borrowings</t>
  </si>
  <si>
    <t xml:space="preserve">  Equity Raised / (Buyback)</t>
  </si>
  <si>
    <t xml:space="preserve">  (-) Dividends Paid</t>
  </si>
  <si>
    <t>Cash from Financing (CFF)</t>
  </si>
  <si>
    <t>Net Change in Cash</t>
  </si>
  <si>
    <t>EMERALD FINANCE LTD - SUMMARY &amp; VALUATION</t>
  </si>
  <si>
    <t>(₹ Crores unless stated)</t>
  </si>
  <si>
    <t>KEY FINANCIAL SUMMARY</t>
  </si>
  <si>
    <t>EBITDA (₹ Cr)</t>
  </si>
  <si>
    <t>Net Profit (PAT) (₹ Cr)</t>
  </si>
  <si>
    <t>EPS (₹)</t>
  </si>
  <si>
    <t>BVPS (₹)</t>
  </si>
  <si>
    <t>KEY RATIOS</t>
  </si>
  <si>
    <t>EBITDA Margin (%)</t>
  </si>
  <si>
    <t>PAT Margin (%)</t>
  </si>
  <si>
    <t>ROE (%)</t>
  </si>
  <si>
    <t>ROA (%)</t>
  </si>
  <si>
    <t>Debt/Equity (x)</t>
  </si>
  <si>
    <t>AUM Growth (%)</t>
  </si>
  <si>
    <t>CFO (₹ Cr)</t>
  </si>
  <si>
    <t>VALUATION</t>
  </si>
  <si>
    <t>Cost of Equity (Ke)</t>
  </si>
  <si>
    <t>Terminal Growth Rate (g)</t>
  </si>
  <si>
    <t>Discount Factor</t>
  </si>
  <si>
    <t>DCF Fair Value per Share (₹)</t>
  </si>
  <si>
    <t>P/E MULTIPLE VALUATION</t>
  </si>
  <si>
    <t>FY27E EPS (₹)</t>
  </si>
  <si>
    <t>FY28E EPS (₹)</t>
  </si>
  <si>
    <t>FY29E EPS (₹)</t>
  </si>
  <si>
    <t>P/E Multiple</t>
  </si>
  <si>
    <t>Target Price (₹)</t>
  </si>
  <si>
    <t>P/B MULTIPLE VALUATION</t>
  </si>
  <si>
    <t>FY27E BVPS (₹)</t>
  </si>
  <si>
    <t>P/B Multiple</t>
  </si>
  <si>
    <t>VALUATION SUMMARY</t>
  </si>
  <si>
    <t>Method</t>
  </si>
  <si>
    <t>Value (₹)</t>
  </si>
  <si>
    <t>Timeframe</t>
  </si>
  <si>
    <t>Key Driver</t>
  </si>
  <si>
    <t>1-yr forward</t>
  </si>
  <si>
    <t>Weighted avg</t>
  </si>
  <si>
    <t>EWA SEGMENT (Customer Acquisition Channel)</t>
  </si>
  <si>
    <t>CROSS-SELL &amp; LENDING (Primary Value Driver)</t>
  </si>
  <si>
    <t>Gold Loan Quarterly Disbursement (₹ Cr)</t>
  </si>
  <si>
    <t>₹ Cr</t>
  </si>
  <si>
    <t>RESIDUAL INCOME VALUATION</t>
  </si>
  <si>
    <t>Current BVPS (FY26E) (₹)</t>
  </si>
  <si>
    <t>Excess Return per Share (₹)</t>
  </si>
  <si>
    <t>PV of Excess Return (₹)</t>
  </si>
  <si>
    <t>PV of Terminal Excess (₹)</t>
  </si>
  <si>
    <t>Residual Income Value / Share (₹)</t>
  </si>
  <si>
    <t>Equity Value (₹ Cr)</t>
  </si>
  <si>
    <t>RI Fair Value per Share (₹)</t>
  </si>
  <si>
    <t>P/E Multiple (x)</t>
  </si>
  <si>
    <t>P/B Multiple (x)</t>
  </si>
  <si>
    <t>Weight</t>
  </si>
  <si>
    <t>Weighted Value</t>
  </si>
  <si>
    <t>Captures value of retained earnings + excess ROE over cost of equity</t>
  </si>
  <si>
    <t>P/E (FY27E × 20x)</t>
  </si>
  <si>
    <t>EPS growth + re-rating. EWA moat → low CAC → cross-sell leverage</t>
  </si>
  <si>
    <t>P/B (FY27E × 3x)</t>
  </si>
  <si>
    <t>Strong ROE supports premium P/B. Book value compounding.</t>
  </si>
  <si>
    <t>1. Revenue: Blended growth from (a) EWA interest + fees, (b) NBFC lending income (business &amp; personal loans), (c) DSA/syndication fees (gold loans — Q3 FY26 actual ₹210 Cr quarterly, Dec ₹105 Cr), (d) invoice discounting fees (new via Petty Ltd Singapore partnership). FY26E/27E growth revised upward from 39%/38% to 45%/42% based on gold loan momentum.</t>
  </si>
  <si>
    <t>2. EWA Growth: Key driver for CUSTOMER ACQUISITION (low CAC). 30-day loan cycle, salary-deducted recovery = very low risk. IRR of 20-24%. Mobile app + WhatsApp disbursement launched. Referral partner program active. 7 new corporates onboarded in Feb 2026 alone.</t>
  </si>
  <si>
    <t>DCF (FCFE) VALUATION</t>
  </si>
  <si>
    <t>FCFE BUILD-UP</t>
  </si>
  <si>
    <t xml:space="preserve">  Cash from Operations (CFO)</t>
  </si>
  <si>
    <t xml:space="preserve">  Cash from Investing (CFI)</t>
  </si>
  <si>
    <t xml:space="preserve">  (+) Net Borrowings</t>
  </si>
  <si>
    <t xml:space="preserve">  (+) Equity Raised</t>
  </si>
  <si>
    <t>FCFE (Free Cash Flow to Equity)</t>
  </si>
  <si>
    <t xml:space="preserve">  FCFE as % of PAT</t>
  </si>
  <si>
    <t>DCF CALCULATION</t>
  </si>
  <si>
    <t xml:space="preserve">  Year Number</t>
  </si>
  <si>
    <t xml:space="preserve">  Discount Factor</t>
  </si>
  <si>
    <t xml:space="preserve">  PV of FCFE (₹ Cr)</t>
  </si>
  <si>
    <t xml:space="preserve">  Terminal Value (₹ Cr)</t>
  </si>
  <si>
    <t xml:space="preserve">  Sum PV of FCFE (₹ Cr)</t>
  </si>
  <si>
    <t>DCF Equity Value (₹ Cr)</t>
  </si>
  <si>
    <t>Weighted average of all 4 methods</t>
  </si>
  <si>
    <t>INVESTMENT RATING</t>
  </si>
  <si>
    <t>Current Market Price (₹)</t>
  </si>
  <si>
    <t>Blended Fair Value (₹)</t>
  </si>
  <si>
    <t>Potential Upside / (Downside)</t>
  </si>
  <si>
    <t>Rating</t>
  </si>
  <si>
    <t>Fair Value (₹)</t>
  </si>
  <si>
    <t>Upside / (Downside)</t>
  </si>
  <si>
    <t>Signal</t>
  </si>
  <si>
    <t>Residual Income</t>
  </si>
  <si>
    <t>DCF - FCFE</t>
  </si>
  <si>
    <t>Blended Current Fair Value</t>
  </si>
  <si>
    <t>LEVERAGE ANALYSIS: OPERATING ROA vs. BORROWING COST AFTER TAX</t>
  </si>
  <si>
    <t>If Operating ROA &gt; Borrowing Cost After Tax → Leverage INCREASES ROE (Underleveraged)</t>
  </si>
  <si>
    <t>If Operating ROA &lt; Borrowing Cost After Tax → Leverage DECREASES ROE (Overleveraged)</t>
  </si>
  <si>
    <t>LINE ITEMS USED</t>
  </si>
  <si>
    <t xml:space="preserve">  Profit Before Tax (PBT)</t>
  </si>
  <si>
    <t xml:space="preserve">  Tax Rate (t = Tax / PBT)</t>
  </si>
  <si>
    <t xml:space="preserve">  Total Assets</t>
  </si>
  <si>
    <t xml:space="preserve">  Borrowings (Total Debt)</t>
  </si>
  <si>
    <t>CALCULATIONS</t>
  </si>
  <si>
    <t xml:space="preserve">  EBIT (PBT + Interest)</t>
  </si>
  <si>
    <t xml:space="preserve">  NOPAT (EBIT × (1 - t))</t>
  </si>
  <si>
    <t xml:space="preserve">  Interest After Tax (Int × (1 - t))</t>
  </si>
  <si>
    <t>RESULT</t>
  </si>
  <si>
    <t xml:space="preserve">  Operating ROA (NOPAT / Total Assets)</t>
  </si>
  <si>
    <t xml:space="preserve">  Borrowing Cost After Tax (Int×(1-t) / Debt)</t>
  </si>
  <si>
    <t xml:space="preserve">  Spread (Op. ROA − Borrow Cost AT)</t>
  </si>
  <si>
    <t xml:space="preserve">  Verdict</t>
  </si>
  <si>
    <t>ROE DECOMPOSITION (DuPont Leverage Method)</t>
  </si>
  <si>
    <t>ROE = Operating ROA + Leverage × (Operating ROA − Borrowing Cost AT)</t>
  </si>
  <si>
    <t>COMPONENTS</t>
  </si>
  <si>
    <t xml:space="preserve">  Operating ROA (from above)</t>
  </si>
  <si>
    <t xml:space="preserve">  Leverage (Debt / Equity)</t>
  </si>
  <si>
    <t xml:space="preserve">  ROE (Decomposed)</t>
  </si>
  <si>
    <t>Cross-Sell Quarterly Disbursement (₹ Cr)</t>
  </si>
  <si>
    <t>FY31E</t>
  </si>
  <si>
    <t>FY32E</t>
  </si>
  <si>
    <t>FY33E</t>
  </si>
  <si>
    <t>FY34E</t>
  </si>
  <si>
    <t>FY35E</t>
  </si>
  <si>
    <t>Residual Income (10-yr)</t>
  </si>
  <si>
    <t>DCF - FCFE (10-yr)</t>
  </si>
  <si>
    <t>FY26-35E</t>
  </si>
  <si>
    <t>FY24 PAT ~₹3.7 Cr. 8x = ₹29.6 Cr. 9M FY26 PAT ₹12.76 Cr (Q3: ₹4.0 Cr, +62% YoY). FY26E ~₹15.8 Cr. Need ~₹30 Cr in FY27 — aggressive but possible with gold loan + cross-sell ramp.</t>
  </si>
  <si>
    <t>From ~₹80 Cr in FY25. FY26E ~₹95 Cr. Trajectory supports ₹200-270 Cr by FY29-30. Gold loan syndication provides AUM upside if on-book share increases.</t>
  </si>
  <si>
    <t>Q3 FY26 ACTUALS vs MODEL CHECK</t>
  </si>
  <si>
    <t>Metric</t>
  </si>
  <si>
    <t>Q3 FY26 Actual</t>
  </si>
  <si>
    <t>FY26E (Model)</t>
  </si>
  <si>
    <t>9M Run-Rate Annualized</t>
  </si>
  <si>
    <t>Variance</t>
  </si>
  <si>
    <t>9M annualizes to ~₹31.2 Cr vs model ₹31.3 Cr. Spot on.</t>
  </si>
  <si>
    <t>Model EBITDA margin 77% = Q3 actual 77%. Perfect match.</t>
  </si>
  <si>
    <t>PAT (₹ Cr)</t>
  </si>
  <si>
    <t>Annualized ₹16 Cr vs model ₹15.9 Cr. Slightly ahead.</t>
  </si>
  <si>
    <t>Match</t>
  </si>
  <si>
    <t>77% EBITDA margin — "not a typo, just fintech math."</t>
  </si>
  <si>
    <t>Model PAT margin ~51.9% vs actual 51%. Close.</t>
  </si>
  <si>
    <t>Interest Cost (₹ Cr)</t>
  </si>
  <si>
    <t>Annualized ₹2.76 Cr vs model ₹2.5 Cr. Model slightly conservative.</t>
  </si>
  <si>
    <t>Gold Loan Disbursement (₹ Cr/qtr)</t>
  </si>
  <si>
    <t>₹840 Cr/yr</t>
  </si>
  <si>
    <t>BEAT</t>
  </si>
  <si>
    <t>Q3 actual ₹210 Cr (Oct 50 + Nov 55 + Dec 105). Well above model quarterly avg.</t>
  </si>
  <si>
    <t>Revenue YoY Growth</t>
  </si>
  <si>
    <t>Below</t>
  </si>
  <si>
    <t>Q3 YoY +36% vs full-year est 45%. H2 weighted toward gold loan ramp.</t>
  </si>
  <si>
    <t>PAT YoY Growth</t>
  </si>
  <si>
    <t>Q3 YoY +62% vs model FY26E +47%. Operating leverage kicking in.</t>
  </si>
  <si>
    <t>EMERALD FINANCE LTD - KEY METRICS DASHBOARD</t>
  </si>
  <si>
    <t>Year</t>
  </si>
  <si>
    <t>Blended Fair Value</t>
  </si>
  <si>
    <t>Target Leverage (Debt/Equity)</t>
  </si>
  <si>
    <t>FCFE approach for NBFC. Higher value reflects low debt servicing — more cash available to equity holders due to low leverage.</t>
  </si>
  <si>
    <t>5. Valuation: Residual Income + DCF (FCFE) + P/E + P/B blended. RI captures excess ROE (19-21%) over Ke (14%). DCF reflects strong FCFE from low leverage (D/E 0.18-0.45x). Gold loan momentum + rising gold prices + RBI LTV relaxation (85%) provide strong secular tailwind. Blended fair value ₹95-100/share (revised after correcting FY25 actuals and low-leverage profile).</t>
  </si>
  <si>
    <t>4. Margins: Asset-light model (tech-driven, in-house platform, 5-person IT team). EBITDA margin 77→81% sustainable. Employee costs and opex scale slower than revenue. PAT margin ~50-55% range. Low interest burden (D/E 0.18-0.45x) supports high PAT conversion.</t>
  </si>
  <si>
    <t>Cost of Debt (%)</t>
  </si>
  <si>
    <t>%</t>
  </si>
  <si>
    <t>REVENUE SEGMENT BREAKDOWN</t>
  </si>
  <si>
    <t xml:space="preserve">  A. FEE-BASED INCOME</t>
  </si>
  <si>
    <t xml:space="preserve">    (i) DSA / Gold Loan Syndication Fees</t>
  </si>
  <si>
    <t xml:space="preserve">  Total Fee Income (₹ Cr)</t>
  </si>
  <si>
    <t xml:space="preserve">  Fee Income (% of Revenue)</t>
  </si>
  <si>
    <t xml:space="preserve">  B. INTEREST-BASED INCOME</t>
  </si>
  <si>
    <t xml:space="preserve">    (i) Business/MSME Loan Interest</t>
  </si>
  <si>
    <t xml:space="preserve">  Total Interest Income (₹ Cr)</t>
  </si>
  <si>
    <t xml:space="preserve">  Interest Income (% of Revenue)</t>
  </si>
  <si>
    <t xml:space="preserve">  TOTAL REVENUE (₹ Cr) = Fee + Interest</t>
  </si>
  <si>
    <t xml:space="preserve">  Revenue Check (should be 0)</t>
  </si>
  <si>
    <t xml:space="preserve">    (ii) EWA Interest Income [ZERO]</t>
  </si>
  <si>
    <t xml:space="preserve">    (ii) Processing Fees (EWA + BL + Cross-sell)</t>
  </si>
  <si>
    <t>35 added in Q3. Need ~40 more in Q4. FY26 target 250 likely missed.</t>
  </si>
  <si>
    <t>By FY26</t>
  </si>
  <si>
    <t>Q3 FY26 monthly disbursement estimated ~₹9-10 Cr. And Talin changed the guidance to 12Cr/month in Q3 concall. App launched on Google Play. WhatsApp channel active. Target achievable with 200+ corporates by FY26-end.</t>
  </si>
  <si>
    <t>3. Gold Loan Syndication: UPGRADED. Fee rate corrected to 1.25% per Zennivesh product-level analysis (was 0.8% blended — too conservative). Row 25 now formula-linked = Row21×4×Row22 + Other DSA. Q3 FY26 actual ₹210 Cr (Oct 50 + Nov 55 + Dec 105). Disbursement projections raised: FY27E ₹550→₹2,200 Cr/yr, FY30E ₹1,050→₹4,200 Cr/yr. Thesis: gold price multi-year bull (JPM $5,055/oz Q4-2026, BofA $6,000 Spring-2026), weakening dollar confidence, India gold loan market 26% CAGR (ICRA), ₹15T by Mar-26. Gold loan disbursements surged 94% YoY in Q3 FY26 (Equifax).</t>
  </si>
  <si>
    <t>ACHIEVABLE (lower end)</t>
  </si>
  <si>
    <t>as of 10 March 2026</t>
  </si>
  <si>
    <t>Number of Employees who take EWA/corporate onboarded</t>
  </si>
  <si>
    <t>Growth rate in number of employees using EWA per corporate</t>
  </si>
  <si>
    <t>Growth rate of the average amount withdrawn</t>
  </si>
  <si>
    <t xml:space="preserve">    (iii) Cross-Sell Loan Interest (Personal Loan etc.)</t>
  </si>
  <si>
    <t>Rate of growth of Processing Fees from segments other than EWA</t>
  </si>
  <si>
    <t>EWA Revenue Contribution (₹ Cr) through processing fees</t>
  </si>
  <si>
    <t>Processing Fees from segments other than EWA (FY26E)</t>
  </si>
  <si>
    <t>~210 by FY26E</t>
  </si>
  <si>
    <t>180 corporates by 9M FY26 (35 added in Q3 alone). FY26-end target 250 likely a MISS — revised to ~210. Mgmt now targets 250 corporates + 3,000 monthly transacting users by FY26-end per Q3 concall.</t>
  </si>
  <si>
    <t>How targetting 3000 then??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</si>
</sst>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.0"/>
    <numFmt numFmtId="166" formatCode="\₹#,##0.00"/>
    <numFmt numFmtId="167" formatCode="0.0000"/>
    <numFmt numFmtId="168" formatCode="0.0&quot;x&quot;"/>
    <numFmt numFmtId="169" formatCode="0.00&quot;x&quot;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BF8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2E509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4"/>
      <color rgb="FF1B3A5C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rgb="FFFFFFFF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4A208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75B6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medium">
        <color rgb="FF2E5090"/>
      </bottom>
      <diagonal/>
    </border>
    <border>
      <left/>
      <right/>
      <top style="thin">
        <color rgb="FF8B000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8B0000"/>
      </bottom>
      <diagonal/>
    </border>
    <border>
      <left/>
      <right/>
      <top style="thin">
        <color rgb="FF2E5090"/>
      </top>
      <bottom/>
      <diagonal/>
    </border>
    <border>
      <left/>
      <right/>
      <top style="thin">
        <color rgb="FF2E5090"/>
      </top>
      <bottom style="thin">
        <color rgb="FF2E5090"/>
      </bottom>
      <diagonal/>
    </border>
    <border>
      <left/>
      <right/>
      <top style="thin">
        <color rgb="FF375623"/>
      </top>
      <bottom style="thin">
        <color rgb="FF375623"/>
      </bottom>
      <diagonal/>
    </border>
    <border>
      <left/>
      <right/>
      <top style="thin">
        <color rgb="FF7F6000"/>
      </top>
      <bottom/>
      <diagonal/>
    </border>
    <border>
      <left/>
      <right/>
      <top style="medium">
        <color rgb="FF375623"/>
      </top>
      <bottom style="double">
        <color rgb="FF375623"/>
      </bottom>
      <diagonal/>
    </border>
    <border>
      <left/>
      <right/>
      <top/>
      <bottom style="thin">
        <color rgb="FF2E5090"/>
      </bottom>
      <diagonal/>
    </border>
    <border>
      <left/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/>
      <right/>
      <top style="medium">
        <color rgb="FF2E5090"/>
      </top>
      <bottom/>
      <diagonal/>
    </border>
    <border>
      <left/>
      <right/>
      <top style="medium">
        <color rgb="FF2E5090"/>
      </top>
      <bottom style="medium">
        <color rgb="FF2E5090"/>
      </bottom>
      <diagonal/>
    </border>
    <border>
      <left/>
      <right/>
      <top/>
      <bottom style="medium">
        <color rgb="FF2E5090"/>
      </bottom>
      <diagonal/>
    </border>
    <border>
      <left/>
      <right style="thin">
        <color rgb="FFE0E0E0"/>
      </right>
      <top style="thin">
        <color rgb="FFE0E0E0"/>
      </top>
      <bottom style="medium">
        <color rgb="FF2E509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2E5090"/>
      </bottom>
      <diagonal/>
    </border>
    <border>
      <left style="thin">
        <color rgb="FFE0E0E0"/>
      </left>
      <right/>
      <top style="thin">
        <color rgb="FFE0E0E0"/>
      </top>
      <bottom style="medium">
        <color rgb="FF2E5090"/>
      </bottom>
      <diagonal/>
    </border>
    <border>
      <left style="medium">
        <color rgb="FF2E5090"/>
      </left>
      <right/>
      <top style="medium">
        <color rgb="FF2E5090"/>
      </top>
      <bottom style="medium">
        <color rgb="FF2E5090"/>
      </bottom>
      <diagonal/>
    </border>
    <border>
      <left style="medium">
        <color rgb="FF2E5090"/>
      </left>
      <right/>
      <top style="medium">
        <color rgb="FF2E5090"/>
      </top>
      <bottom/>
      <diagonal/>
    </border>
    <border>
      <left style="medium">
        <color rgb="FF2E5090"/>
      </left>
      <right/>
      <top/>
      <bottom/>
      <diagonal/>
    </border>
    <border>
      <left style="medium">
        <color rgb="FF2E5090"/>
      </left>
      <right/>
      <top style="thin">
        <color rgb="FF2E5090"/>
      </top>
      <bottom style="thin">
        <color rgb="FF2E5090"/>
      </bottom>
      <diagonal/>
    </border>
    <border>
      <left style="medium">
        <color rgb="FF2E5090"/>
      </left>
      <right/>
      <top style="thin">
        <color rgb="FF375623"/>
      </top>
      <bottom style="thin">
        <color rgb="FF375623"/>
      </bottom>
      <diagonal/>
    </border>
    <border>
      <left style="medium">
        <color rgb="FF2E5090"/>
      </left>
      <right/>
      <top style="thin">
        <color rgb="FF7F6000"/>
      </top>
      <bottom/>
      <diagonal/>
    </border>
    <border>
      <left style="medium">
        <color rgb="FF2E5090"/>
      </left>
      <right/>
      <top style="medium">
        <color rgb="FF375623"/>
      </top>
      <bottom style="double">
        <color rgb="FF375623"/>
      </bottom>
      <diagonal/>
    </border>
    <border>
      <left style="medium">
        <color rgb="FF2E5090"/>
      </left>
      <right/>
      <top/>
      <bottom style="thin">
        <color rgb="FF2E5090"/>
      </bottom>
      <diagonal/>
    </border>
    <border>
      <left style="medium">
        <color rgb="FF2E5090"/>
      </left>
      <right/>
      <top/>
      <bottom style="medium">
        <color rgb="FF2E5090"/>
      </bottom>
      <diagonal/>
    </border>
    <border>
      <left/>
      <right style="medium">
        <color rgb="FF2E5090"/>
      </right>
      <top style="medium">
        <color rgb="FF2E5090"/>
      </top>
      <bottom/>
      <diagonal/>
    </border>
    <border>
      <left style="thin">
        <color rgb="FFE0E0E0"/>
      </left>
      <right style="medium">
        <color rgb="FF2E5090"/>
      </right>
      <top/>
      <bottom style="thin">
        <color rgb="FFE0E0E0"/>
      </bottom>
      <diagonal/>
    </border>
    <border>
      <left style="thin">
        <color rgb="FFE0E0E0"/>
      </left>
      <right style="medium">
        <color rgb="FF2E509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medium">
        <color rgb="FF2E5090"/>
      </right>
      <top style="thin">
        <color rgb="FFE0E0E0"/>
      </top>
      <bottom style="medium">
        <color rgb="FF2E5090"/>
      </bottom>
      <diagonal/>
    </border>
    <border>
      <left/>
      <right/>
      <top style="medium">
        <color rgb="FF2E5090"/>
      </top>
      <bottom style="double">
        <color rgb="FF2E5090"/>
      </bottom>
      <diagonal/>
    </border>
    <border>
      <left/>
      <right/>
      <top/>
      <bottom style="thin">
        <color rgb="FFC00000"/>
      </bottom>
      <diagonal/>
    </border>
    <border>
      <left style="medium">
        <color rgb="FF2E5090"/>
      </left>
      <right/>
      <top style="medium">
        <color rgb="FF2E5090"/>
      </top>
      <bottom style="double">
        <color rgb="FF2E5090"/>
      </bottom>
      <diagonal/>
    </border>
    <border>
      <left style="medium">
        <color rgb="FF2E5090"/>
      </left>
      <right/>
      <top/>
      <bottom style="thin">
        <color rgb="FFC00000"/>
      </bottom>
      <diagonal/>
    </border>
    <border>
      <left/>
      <right/>
      <top style="thin">
        <color rgb="FF7F6000"/>
      </top>
      <bottom style="thin">
        <color rgb="FF7F6000"/>
      </bottom>
      <diagonal/>
    </border>
    <border>
      <left/>
      <right/>
      <top/>
      <bottom style="double">
        <color rgb="FF375623"/>
      </bottom>
      <diagonal/>
    </border>
    <border>
      <left/>
      <right/>
      <top style="medium">
        <color rgb="FF375623"/>
      </top>
      <bottom style="medium">
        <color rgb="FF2E5090"/>
      </bottom>
      <diagonal/>
    </border>
    <border>
      <left style="medium">
        <color rgb="FF2E5090"/>
      </left>
      <right/>
      <top style="thin">
        <color rgb="FF7F6000"/>
      </top>
      <bottom style="thin">
        <color rgb="FF7F6000"/>
      </bottom>
      <diagonal/>
    </border>
    <border>
      <left style="medium">
        <color rgb="FF2E5090"/>
      </left>
      <right/>
      <top style="thin">
        <color rgb="FF2E5090"/>
      </top>
      <bottom/>
      <diagonal/>
    </border>
    <border>
      <left style="medium">
        <color rgb="FF2E5090"/>
      </left>
      <right/>
      <top style="medium">
        <color rgb="FF375623"/>
      </top>
      <bottom style="medium">
        <color rgb="FF2E5090"/>
      </bottom>
      <diagonal/>
    </border>
    <border>
      <left/>
      <right style="medium">
        <color rgb="FF2E5090"/>
      </right>
      <top/>
      <bottom/>
      <diagonal/>
    </border>
    <border>
      <left/>
      <right style="medium">
        <color rgb="FF2E5090"/>
      </right>
      <top/>
      <bottom style="medium">
        <color rgb="FF2E5090"/>
      </bottom>
      <diagonal/>
    </border>
    <border>
      <left/>
      <right/>
      <top style="thin">
        <color rgb="FF375623"/>
      </top>
      <bottom style="thin">
        <color rgb="FFE0E0E0"/>
      </bottom>
      <diagonal/>
    </border>
    <border>
      <left/>
      <right/>
      <top style="thin">
        <color rgb="FFE0E0E0"/>
      </top>
      <bottom style="medium">
        <color rgb="FF375623"/>
      </bottom>
      <diagonal/>
    </border>
    <border>
      <left style="medium">
        <color rgb="FF375623"/>
      </left>
      <right/>
      <top/>
      <bottom style="double">
        <color rgb="FF375623"/>
      </bottom>
      <diagonal/>
    </border>
    <border>
      <left style="medium">
        <color rgb="FF375623"/>
      </left>
      <right/>
      <top/>
      <bottom/>
      <diagonal/>
    </border>
    <border>
      <left style="medium">
        <color rgb="FF375623"/>
      </left>
      <right/>
      <top style="thin">
        <color rgb="FF375623"/>
      </top>
      <bottom style="thin">
        <color rgb="FFE0E0E0"/>
      </bottom>
      <diagonal/>
    </border>
    <border>
      <left style="medium">
        <color rgb="FF375623"/>
      </left>
      <right/>
      <top style="thin">
        <color rgb="FFE0E0E0"/>
      </top>
      <bottom style="thin">
        <color rgb="FFE0E0E0"/>
      </bottom>
      <diagonal/>
    </border>
    <border>
      <left style="medium">
        <color rgb="FF375623"/>
      </left>
      <right/>
      <top style="thin">
        <color rgb="FFE0E0E0"/>
      </top>
      <bottom style="medium">
        <color rgb="FF375623"/>
      </bottom>
      <diagonal/>
    </border>
    <border>
      <left/>
      <right style="medium">
        <color rgb="FF375623"/>
      </right>
      <top/>
      <bottom/>
      <diagonal/>
    </border>
    <border>
      <left/>
      <right style="medium">
        <color rgb="FF375623"/>
      </right>
      <top style="thin">
        <color rgb="FF375623"/>
      </top>
      <bottom style="thin">
        <color rgb="FFE0E0E0"/>
      </bottom>
      <diagonal/>
    </border>
    <border>
      <left/>
      <right style="medium">
        <color rgb="FF375623"/>
      </right>
      <top style="thin">
        <color rgb="FFE0E0E0"/>
      </top>
      <bottom style="thin">
        <color rgb="FFE0E0E0"/>
      </bottom>
      <diagonal/>
    </border>
    <border>
      <left/>
      <right style="medium">
        <color rgb="FF375623"/>
      </right>
      <top style="thin">
        <color rgb="FFE0E0E0"/>
      </top>
      <bottom style="medium">
        <color rgb="FF375623"/>
      </bottom>
      <diagonal/>
    </border>
    <border>
      <left/>
      <right style="medium">
        <color rgb="FF375623"/>
      </right>
      <top/>
      <bottom style="double">
        <color rgb="FF375623"/>
      </bottom>
      <diagonal/>
    </border>
    <border>
      <left/>
      <right/>
      <top/>
      <bottom style="medium">
        <color rgb="FF1B3A5C"/>
      </bottom>
      <diagonal/>
    </border>
    <border>
      <left style="medium">
        <color rgb="FF1B3A5C"/>
      </left>
      <right/>
      <top/>
      <bottom style="medium">
        <color rgb="FF1B3A5C"/>
      </bottom>
      <diagonal/>
    </border>
    <border>
      <left style="medium">
        <color rgb="FF1B3A5C"/>
      </left>
      <right/>
      <top/>
      <bottom/>
      <diagonal/>
    </border>
    <border>
      <left/>
      <right style="medium">
        <color rgb="FF1B3A5C"/>
      </right>
      <top/>
      <bottom/>
      <diagonal/>
    </border>
    <border>
      <left/>
      <right style="medium">
        <color rgb="FF1B3A5C"/>
      </right>
      <top/>
      <bottom style="medium">
        <color rgb="FF1B3A5C"/>
      </bottom>
      <diagonal/>
    </border>
    <border>
      <left/>
      <right/>
      <top style="thin">
        <color rgb="FF2E509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2E5090"/>
      </bottom>
      <diagonal/>
    </border>
    <border>
      <left/>
      <right/>
      <top/>
      <bottom style="medium">
        <color rgb="FF375623"/>
      </bottom>
      <diagonal/>
    </border>
    <border>
      <left/>
      <right style="thin">
        <color rgb="FFE0E0E0"/>
      </right>
      <top style="thin">
        <color rgb="FFE0E0E0"/>
      </top>
      <bottom style="thin">
        <color rgb="FF7F6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7F6000"/>
      </bottom>
      <diagonal/>
    </border>
    <border>
      <left style="thin">
        <color rgb="FFE0E0E0"/>
      </left>
      <right/>
      <top style="thin">
        <color rgb="FFE0E0E0"/>
      </top>
      <bottom style="thin">
        <color rgb="FF7F6000"/>
      </bottom>
      <diagonal/>
    </border>
    <border>
      <left style="medium">
        <color rgb="FF1B3A5C"/>
      </left>
      <right/>
      <top/>
      <bottom style="medium">
        <color rgb="FF375623"/>
      </bottom>
      <diagonal/>
    </border>
    <border>
      <left style="thin">
        <color rgb="FFE0E0E0"/>
      </left>
      <right style="medium">
        <color rgb="FF1B3A5C"/>
      </right>
      <top/>
      <bottom style="thin">
        <color rgb="FFE0E0E0"/>
      </bottom>
      <diagonal/>
    </border>
    <border>
      <left style="thin">
        <color rgb="FFE0E0E0"/>
      </left>
      <right style="medium">
        <color rgb="FF1B3A5C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medium">
        <color rgb="FF1B3A5C"/>
      </right>
      <top style="thin">
        <color rgb="FFE0E0E0"/>
      </top>
      <bottom/>
      <diagonal/>
    </border>
    <border>
      <left/>
      <right style="medium">
        <color rgb="FF1B3A5C"/>
      </right>
      <top style="thin">
        <color rgb="FF7F6000"/>
      </top>
      <bottom style="thin">
        <color rgb="FF7F6000"/>
      </bottom>
      <diagonal/>
    </border>
    <border>
      <left style="thick">
        <color rgb="FF4A2080"/>
      </left>
      <right/>
      <top/>
      <bottom/>
      <diagonal/>
    </border>
    <border>
      <left/>
      <right/>
      <top style="medium">
        <color rgb="FF2E5090"/>
      </top>
      <bottom style="thin">
        <color rgb="FFD9D9D9"/>
      </bottom>
      <diagonal/>
    </border>
    <border>
      <left style="thin">
        <color rgb="FFE0E0E0"/>
      </left>
      <right style="medium">
        <color rgb="FF2E5090"/>
      </right>
      <top style="thin">
        <color rgb="FFE0E0E0"/>
      </top>
      <bottom/>
      <diagonal/>
    </border>
    <border>
      <left style="thin">
        <color rgb="FFE0E0E0"/>
      </left>
      <right style="medium">
        <color rgb="FF1B3A5C"/>
      </right>
      <top style="thin">
        <color rgb="FF7F6000"/>
      </top>
      <bottom style="medium">
        <color rgb="FF1B3A5C"/>
      </bottom>
      <diagonal/>
    </border>
    <border>
      <left style="thin">
        <color rgb="FFE0E0E0"/>
      </left>
      <right style="thin">
        <color rgb="FFE0E0E0"/>
      </right>
      <top style="thin">
        <color rgb="FF7F6000"/>
      </top>
      <bottom style="medium">
        <color rgb="FF1B3A5C"/>
      </bottom>
      <diagonal/>
    </border>
    <border>
      <left/>
      <right style="thin">
        <color rgb="FFE0E0E0"/>
      </right>
      <top style="thin">
        <color rgb="FF7F6000"/>
      </top>
      <bottom style="medium">
        <color rgb="FF1B3A5C"/>
      </bottom>
      <diagonal/>
    </border>
    <border>
      <left/>
      <right/>
      <top/>
      <bottom style="thin">
        <color theme="4" tint="-0.249977111117893"/>
      </bottom>
      <diagonal/>
    </border>
    <border>
      <left/>
      <right/>
      <top style="medium">
        <color rgb="FF2E75B6"/>
      </top>
      <bottom/>
      <diagonal/>
    </border>
    <border>
      <left/>
      <right/>
      <top style="thin">
        <color rgb="FFD9D9D9"/>
      </top>
      <bottom style="medium">
        <color rgb="FF2E75B6"/>
      </bottom>
      <diagonal/>
    </border>
    <border>
      <left style="thin">
        <color rgb="FFE0E0E0"/>
      </left>
      <right style="medium">
        <color theme="4" tint="-0.249977111117893"/>
      </right>
      <top style="thin">
        <color rgb="FFE0E0E0"/>
      </top>
      <bottom style="thin">
        <color rgb="FFE0E0E0"/>
      </bottom>
      <diagonal/>
    </border>
    <border>
      <left/>
      <right style="medium">
        <color theme="3"/>
      </right>
      <top style="thin">
        <color rgb="FFD9D9D9"/>
      </top>
      <bottom style="medium">
        <color rgb="FF2E5090"/>
      </bottom>
      <diagonal/>
    </border>
    <border>
      <left/>
      <right style="medium">
        <color theme="3"/>
      </right>
      <top style="thin">
        <color rgb="FFD9D9D9"/>
      </top>
      <bottom/>
      <diagonal/>
    </border>
    <border>
      <left/>
      <right style="medium">
        <color theme="3"/>
      </right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/>
      <diagonal/>
    </border>
  </borders>
  <cellStyleXfs count="2">
    <xf numFmtId="0" fontId="0" fillId="0" borderId="0"/>
    <xf numFmtId="9" fontId="26" fillId="0" borderId="0" applyFont="0" applyFill="0" applyBorder="0" applyAlignment="0" applyProtection="0"/>
  </cellStyleXfs>
  <cellXfs count="563"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7" borderId="0" xfId="0" applyFill="1"/>
    <xf numFmtId="0" fontId="29" fillId="9" borderId="0" xfId="0" applyFont="1" applyFill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23" fillId="10" borderId="0" xfId="0" applyFont="1" applyFill="1"/>
    <xf numFmtId="0" fontId="23" fillId="10" borderId="0" xfId="0" applyFont="1" applyFill="1" applyAlignment="1">
      <alignment horizontal="center"/>
    </xf>
    <xf numFmtId="0" fontId="23" fillId="13" borderId="0" xfId="0" applyFont="1" applyFill="1"/>
    <xf numFmtId="0" fontId="23" fillId="14" borderId="0" xfId="0" applyFont="1" applyFill="1"/>
    <xf numFmtId="0" fontId="0" fillId="0" borderId="3" xfId="0" applyBorder="1"/>
    <xf numFmtId="0" fontId="5" fillId="0" borderId="3" xfId="0" applyFont="1" applyBorder="1"/>
    <xf numFmtId="0" fontId="0" fillId="0" borderId="4" xfId="0" applyBorder="1"/>
    <xf numFmtId="0" fontId="2" fillId="0" borderId="4" xfId="0" applyFont="1" applyBorder="1"/>
    <xf numFmtId="0" fontId="0" fillId="0" borderId="5" xfId="0" applyBorder="1"/>
    <xf numFmtId="0" fontId="23" fillId="10" borderId="3" xfId="0" applyFont="1" applyFill="1" applyBorder="1"/>
    <xf numFmtId="0" fontId="0" fillId="0" borderId="6" xfId="0" applyBorder="1"/>
    <xf numFmtId="0" fontId="5" fillId="0" borderId="5" xfId="0" applyFont="1" applyBorder="1"/>
    <xf numFmtId="0" fontId="23" fillId="11" borderId="3" xfId="0" applyFont="1" applyFill="1" applyBorder="1"/>
    <xf numFmtId="0" fontId="2" fillId="0" borderId="5" xfId="0" applyFont="1" applyBorder="1"/>
    <xf numFmtId="0" fontId="5" fillId="0" borderId="6" xfId="0" applyFont="1" applyBorder="1"/>
    <xf numFmtId="0" fontId="2" fillId="0" borderId="6" xfId="0" applyFont="1" applyBorder="1"/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4" fontId="9" fillId="0" borderId="3" xfId="0" applyNumberFormat="1" applyFon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9" fillId="0" borderId="4" xfId="0" applyNumberFormat="1" applyFont="1" applyBorder="1" applyAlignment="1">
      <alignment horizontal="center"/>
    </xf>
    <xf numFmtId="4" fontId="6" fillId="0" borderId="4" xfId="0" applyNumberFormat="1" applyFont="1" applyBorder="1" applyAlignment="1">
      <alignment horizontal="center"/>
    </xf>
    <xf numFmtId="4" fontId="10" fillId="0" borderId="4" xfId="0" applyNumberFormat="1" applyFon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18" fillId="0" borderId="6" xfId="0" applyNumberFormat="1" applyFon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69" fontId="9" fillId="0" borderId="5" xfId="0" applyNumberFormat="1" applyFont="1" applyBorder="1" applyAlignment="1">
      <alignment horizontal="center"/>
    </xf>
    <xf numFmtId="0" fontId="1" fillId="9" borderId="0" xfId="0" applyFont="1" applyFill="1"/>
    <xf numFmtId="0" fontId="0" fillId="0" borderId="7" xfId="0" applyBorder="1"/>
    <xf numFmtId="0" fontId="12" fillId="0" borderId="7" xfId="0" applyFont="1" applyBorder="1"/>
    <xf numFmtId="0" fontId="0" fillId="0" borderId="8" xfId="0" applyBorder="1"/>
    <xf numFmtId="0" fontId="13" fillId="0" borderId="8" xfId="0" applyFont="1" applyBorder="1"/>
    <xf numFmtId="0" fontId="11" fillId="0" borderId="8" xfId="0" applyFont="1" applyBorder="1"/>
    <xf numFmtId="0" fontId="0" fillId="0" borderId="10" xfId="0" applyBorder="1"/>
    <xf numFmtId="0" fontId="11" fillId="0" borderId="10" xfId="0" applyFont="1" applyBorder="1"/>
    <xf numFmtId="0" fontId="1" fillId="16" borderId="0" xfId="0" applyFont="1" applyFill="1"/>
    <xf numFmtId="0" fontId="1" fillId="16" borderId="11" xfId="0" applyFont="1" applyFill="1" applyBorder="1"/>
    <xf numFmtId="0" fontId="1" fillId="16" borderId="12" xfId="0" applyFont="1" applyFill="1" applyBorder="1"/>
    <xf numFmtId="0" fontId="1" fillId="15" borderId="0" xfId="0" applyFont="1" applyFill="1"/>
    <xf numFmtId="0" fontId="1" fillId="3" borderId="13" xfId="0" applyFont="1" applyFill="1" applyBorder="1"/>
    <xf numFmtId="0" fontId="1" fillId="4" borderId="14" xfId="0" applyFont="1" applyFill="1" applyBorder="1"/>
    <xf numFmtId="0" fontId="4" fillId="11" borderId="15" xfId="0" applyFont="1" applyFill="1" applyBorder="1"/>
    <xf numFmtId="0" fontId="1" fillId="16" borderId="16" xfId="0" applyFont="1" applyFill="1" applyBorder="1"/>
    <xf numFmtId="4" fontId="1" fillId="3" borderId="8" xfId="0" applyNumberFormat="1" applyFont="1" applyFill="1" applyBorder="1" applyAlignment="1">
      <alignment horizontal="center"/>
    </xf>
    <xf numFmtId="4" fontId="1" fillId="16" borderId="21" xfId="0" applyNumberFormat="1" applyFont="1" applyFill="1" applyBorder="1" applyAlignment="1">
      <alignment horizontal="center"/>
    </xf>
    <xf numFmtId="4" fontId="1" fillId="16" borderId="22" xfId="0" applyNumberFormat="1" applyFont="1" applyFill="1" applyBorder="1" applyAlignment="1">
      <alignment horizontal="center"/>
    </xf>
    <xf numFmtId="4" fontId="1" fillId="16" borderId="23" xfId="0" applyNumberFormat="1" applyFont="1" applyFill="1" applyBorder="1" applyAlignment="1">
      <alignment horizontal="center"/>
    </xf>
    <xf numFmtId="4" fontId="1" fillId="15" borderId="21" xfId="0" applyNumberFormat="1" applyFont="1" applyFill="1" applyBorder="1" applyAlignment="1">
      <alignment horizontal="center"/>
    </xf>
    <xf numFmtId="4" fontId="1" fillId="15" borderId="22" xfId="0" applyNumberFormat="1" applyFont="1" applyFill="1" applyBorder="1" applyAlignment="1">
      <alignment horizontal="center"/>
    </xf>
    <xf numFmtId="4" fontId="1" fillId="15" borderId="23" xfId="0" applyNumberFormat="1" applyFont="1" applyFill="1" applyBorder="1" applyAlignment="1">
      <alignment horizontal="center"/>
    </xf>
    <xf numFmtId="4" fontId="1" fillId="3" borderId="21" xfId="0" applyNumberFormat="1" applyFont="1" applyFill="1" applyBorder="1" applyAlignment="1">
      <alignment horizontal="center"/>
    </xf>
    <xf numFmtId="4" fontId="1" fillId="3" borderId="22" xfId="0" applyNumberFormat="1" applyFont="1" applyFill="1" applyBorder="1" applyAlignment="1">
      <alignment horizontal="center"/>
    </xf>
    <xf numFmtId="4" fontId="1" fillId="3" borderId="23" xfId="0" applyNumberFormat="1" applyFont="1" applyFill="1" applyBorder="1" applyAlignment="1">
      <alignment horizontal="center"/>
    </xf>
    <xf numFmtId="164" fontId="14" fillId="0" borderId="21" xfId="0" applyNumberFormat="1" applyFont="1" applyBorder="1" applyAlignment="1">
      <alignment horizontal="center"/>
    </xf>
    <xf numFmtId="164" fontId="14" fillId="0" borderId="22" xfId="0" applyNumberFormat="1" applyFont="1" applyBorder="1" applyAlignment="1">
      <alignment horizontal="center"/>
    </xf>
    <xf numFmtId="164" fontId="14" fillId="0" borderId="23" xfId="0" applyNumberFormat="1" applyFont="1" applyBorder="1" applyAlignment="1">
      <alignment horizontal="center"/>
    </xf>
    <xf numFmtId="4" fontId="1" fillId="4" borderId="21" xfId="0" applyNumberFormat="1" applyFont="1" applyFill="1" applyBorder="1" applyAlignment="1">
      <alignment horizontal="center"/>
    </xf>
    <xf numFmtId="4" fontId="1" fillId="4" borderId="22" xfId="0" applyNumberFormat="1" applyFont="1" applyFill="1" applyBorder="1" applyAlignment="1">
      <alignment horizontal="center"/>
    </xf>
    <xf numFmtId="4" fontId="1" fillId="4" borderId="23" xfId="0" applyNumberFormat="1" applyFont="1" applyFill="1" applyBorder="1" applyAlignment="1">
      <alignment horizontal="center"/>
    </xf>
    <xf numFmtId="4" fontId="4" fillId="11" borderId="21" xfId="0" applyNumberFormat="1" applyFont="1" applyFill="1" applyBorder="1" applyAlignment="1">
      <alignment horizontal="center"/>
    </xf>
    <xf numFmtId="4" fontId="4" fillId="11" borderId="22" xfId="0" applyNumberFormat="1" applyFont="1" applyFill="1" applyBorder="1" applyAlignment="1">
      <alignment horizontal="center"/>
    </xf>
    <xf numFmtId="4" fontId="4" fillId="11" borderId="23" xfId="0" applyNumberFormat="1" applyFont="1" applyFill="1" applyBorder="1" applyAlignment="1">
      <alignment horizontal="center"/>
    </xf>
    <xf numFmtId="0" fontId="1" fillId="16" borderId="21" xfId="0" applyFont="1" applyFill="1" applyBorder="1"/>
    <xf numFmtId="0" fontId="1" fillId="16" borderId="22" xfId="0" applyFont="1" applyFill="1" applyBorder="1"/>
    <xf numFmtId="0" fontId="1" fillId="16" borderId="23" xfId="0" applyFont="1" applyFill="1" applyBorder="1"/>
    <xf numFmtId="0" fontId="23" fillId="10" borderId="27" xfId="0" applyFont="1" applyFill="1" applyBorder="1" applyAlignment="1">
      <alignment horizontal="center"/>
    </xf>
    <xf numFmtId="0" fontId="23" fillId="8" borderId="27" xfId="0" applyFont="1" applyFill="1" applyBorder="1" applyAlignment="1">
      <alignment horizontal="center"/>
    </xf>
    <xf numFmtId="0" fontId="23" fillId="10" borderId="34" xfId="0" applyFont="1" applyFill="1" applyBorder="1" applyAlignment="1">
      <alignment horizontal="left"/>
    </xf>
    <xf numFmtId="0" fontId="1" fillId="16" borderId="40" xfId="0" applyFont="1" applyFill="1" applyBorder="1"/>
    <xf numFmtId="0" fontId="23" fillId="8" borderId="42" xfId="0" applyFont="1" applyFill="1" applyBorder="1" applyAlignment="1">
      <alignment horizontal="center"/>
    </xf>
    <xf numFmtId="4" fontId="1" fillId="16" borderId="44" xfId="0" applyNumberFormat="1" applyFont="1" applyFill="1" applyBorder="1" applyAlignment="1">
      <alignment horizontal="center"/>
    </xf>
    <xf numFmtId="4" fontId="1" fillId="15" borderId="44" xfId="0" applyNumberFormat="1" applyFont="1" applyFill="1" applyBorder="1" applyAlignment="1">
      <alignment horizontal="center"/>
    </xf>
    <xf numFmtId="4" fontId="1" fillId="3" borderId="44" xfId="0" applyNumberFormat="1" applyFont="1" applyFill="1" applyBorder="1" applyAlignment="1">
      <alignment horizontal="center"/>
    </xf>
    <xf numFmtId="4" fontId="1" fillId="4" borderId="44" xfId="0" applyNumberFormat="1" applyFont="1" applyFill="1" applyBorder="1" applyAlignment="1">
      <alignment horizontal="center"/>
    </xf>
    <xf numFmtId="4" fontId="4" fillId="11" borderId="44" xfId="0" applyNumberFormat="1" applyFont="1" applyFill="1" applyBorder="1" applyAlignment="1">
      <alignment horizontal="center"/>
    </xf>
    <xf numFmtId="0" fontId="1" fillId="16" borderId="27" xfId="0" applyFont="1" applyFill="1" applyBorder="1"/>
    <xf numFmtId="0" fontId="1" fillId="16" borderId="28" xfId="0" applyFont="1" applyFill="1" applyBorder="1"/>
    <xf numFmtId="0" fontId="1" fillId="16" borderId="46" xfId="0" applyFont="1" applyFill="1" applyBorder="1"/>
    <xf numFmtId="0" fontId="13" fillId="0" borderId="47" xfId="0" applyFont="1" applyBorder="1"/>
    <xf numFmtId="0" fontId="23" fillId="10" borderId="21" xfId="0" applyFont="1" applyFill="1" applyBorder="1"/>
    <xf numFmtId="0" fontId="23" fillId="10" borderId="22" xfId="0" applyFont="1" applyFill="1" applyBorder="1"/>
    <xf numFmtId="0" fontId="23" fillId="10" borderId="23" xfId="0" applyFont="1" applyFill="1" applyBorder="1"/>
    <xf numFmtId="4" fontId="13" fillId="0" borderId="21" xfId="0" applyNumberFormat="1" applyFont="1" applyBorder="1" applyAlignment="1">
      <alignment horizontal="center"/>
    </xf>
    <xf numFmtId="4" fontId="13" fillId="0" borderId="22" xfId="0" applyNumberFormat="1" applyFont="1" applyBorder="1" applyAlignment="1">
      <alignment horizontal="center"/>
    </xf>
    <xf numFmtId="4" fontId="13" fillId="0" borderId="23" xfId="0" applyNumberFormat="1" applyFont="1" applyBorder="1" applyAlignment="1">
      <alignment horizontal="center"/>
    </xf>
    <xf numFmtId="0" fontId="23" fillId="10" borderId="27" xfId="0" applyFont="1" applyFill="1" applyBorder="1"/>
    <xf numFmtId="0" fontId="23" fillId="10" borderId="34" xfId="0" applyFont="1" applyFill="1" applyBorder="1"/>
    <xf numFmtId="0" fontId="23" fillId="10" borderId="35" xfId="0" applyFont="1" applyFill="1" applyBorder="1"/>
    <xf numFmtId="0" fontId="1" fillId="4" borderId="50" xfId="0" applyFont="1" applyFill="1" applyBorder="1"/>
    <xf numFmtId="0" fontId="4" fillId="11" borderId="52" xfId="0" applyFont="1" applyFill="1" applyBorder="1"/>
    <xf numFmtId="4" fontId="4" fillId="11" borderId="30" xfId="0" applyNumberFormat="1" applyFont="1" applyFill="1" applyBorder="1" applyAlignment="1">
      <alignment horizontal="center"/>
    </xf>
    <xf numFmtId="4" fontId="4" fillId="11" borderId="31" xfId="0" applyNumberFormat="1" applyFont="1" applyFill="1" applyBorder="1" applyAlignment="1">
      <alignment horizontal="center"/>
    </xf>
    <xf numFmtId="4" fontId="4" fillId="11" borderId="32" xfId="0" applyNumberFormat="1" applyFont="1" applyFill="1" applyBorder="1" applyAlignment="1">
      <alignment horizontal="center"/>
    </xf>
    <xf numFmtId="4" fontId="4" fillId="11" borderId="45" xfId="0" applyNumberFormat="1" applyFont="1" applyFill="1" applyBorder="1" applyAlignment="1">
      <alignment horizontal="center"/>
    </xf>
    <xf numFmtId="0" fontId="20" fillId="3" borderId="13" xfId="0" applyFont="1" applyFill="1" applyBorder="1"/>
    <xf numFmtId="4" fontId="21" fillId="0" borderId="18" xfId="0" applyNumberFormat="1" applyFont="1" applyBorder="1" applyAlignment="1">
      <alignment horizontal="center"/>
    </xf>
    <xf numFmtId="4" fontId="21" fillId="0" borderId="19" xfId="0" applyNumberFormat="1" applyFont="1" applyBorder="1" applyAlignment="1">
      <alignment horizontal="center"/>
    </xf>
    <xf numFmtId="4" fontId="21" fillId="0" borderId="20" xfId="0" applyNumberFormat="1" applyFont="1" applyBorder="1" applyAlignment="1">
      <alignment horizontal="center"/>
    </xf>
    <xf numFmtId="4" fontId="21" fillId="0" borderId="21" xfId="0" applyNumberFormat="1" applyFont="1" applyBorder="1" applyAlignment="1">
      <alignment horizontal="center"/>
    </xf>
    <xf numFmtId="4" fontId="21" fillId="0" borderId="22" xfId="0" applyNumberFormat="1" applyFont="1" applyBorder="1" applyAlignment="1">
      <alignment horizontal="center"/>
    </xf>
    <xf numFmtId="4" fontId="21" fillId="0" borderId="23" xfId="0" applyNumberFormat="1" applyFont="1" applyBorder="1" applyAlignment="1">
      <alignment horizontal="center"/>
    </xf>
    <xf numFmtId="4" fontId="20" fillId="3" borderId="21" xfId="0" applyNumberFormat="1" applyFont="1" applyFill="1" applyBorder="1" applyAlignment="1">
      <alignment horizontal="center"/>
    </xf>
    <xf numFmtId="4" fontId="20" fillId="3" borderId="22" xfId="0" applyNumberFormat="1" applyFont="1" applyFill="1" applyBorder="1" applyAlignment="1">
      <alignment horizontal="center"/>
    </xf>
    <xf numFmtId="4" fontId="20" fillId="3" borderId="23" xfId="0" applyNumberFormat="1" applyFont="1" applyFill="1" applyBorder="1" applyAlignment="1">
      <alignment horizontal="center"/>
    </xf>
    <xf numFmtId="166" fontId="21" fillId="0" borderId="21" xfId="0" applyNumberFormat="1" applyFont="1" applyBorder="1" applyAlignment="1">
      <alignment horizontal="center"/>
    </xf>
    <xf numFmtId="166" fontId="21" fillId="0" borderId="22" xfId="0" applyNumberFormat="1" applyFont="1" applyBorder="1" applyAlignment="1">
      <alignment horizontal="center"/>
    </xf>
    <xf numFmtId="166" fontId="21" fillId="0" borderId="23" xfId="0" applyNumberFormat="1" applyFont="1" applyBorder="1" applyAlignment="1">
      <alignment horizontal="center"/>
    </xf>
    <xf numFmtId="4" fontId="21" fillId="0" borderId="24" xfId="0" applyNumberFormat="1" applyFont="1" applyBorder="1" applyAlignment="1">
      <alignment horizontal="center"/>
    </xf>
    <xf numFmtId="4" fontId="21" fillId="0" borderId="25" xfId="0" applyNumberFormat="1" applyFont="1" applyBorder="1" applyAlignment="1">
      <alignment horizontal="center"/>
    </xf>
    <xf numFmtId="4" fontId="21" fillId="0" borderId="26" xfId="0" applyNumberFormat="1" applyFont="1" applyBorder="1" applyAlignment="1">
      <alignment horizontal="center"/>
    </xf>
    <xf numFmtId="0" fontId="23" fillId="8" borderId="0" xfId="0" applyFont="1" applyFill="1" applyAlignment="1">
      <alignment horizontal="center"/>
    </xf>
    <xf numFmtId="0" fontId="21" fillId="0" borderId="0" xfId="0" applyFont="1"/>
    <xf numFmtId="0" fontId="21" fillId="0" borderId="29" xfId="0" applyFont="1" applyBorder="1"/>
    <xf numFmtId="4" fontId="21" fillId="0" borderId="30" xfId="0" applyNumberFormat="1" applyFont="1" applyBorder="1" applyAlignment="1">
      <alignment horizontal="center"/>
    </xf>
    <xf numFmtId="4" fontId="21" fillId="0" borderId="31" xfId="0" applyNumberFormat="1" applyFont="1" applyBorder="1" applyAlignment="1">
      <alignment horizontal="center"/>
    </xf>
    <xf numFmtId="4" fontId="21" fillId="0" borderId="32" xfId="0" applyNumberFormat="1" applyFont="1" applyBorder="1" applyAlignment="1">
      <alignment horizontal="center"/>
    </xf>
    <xf numFmtId="0" fontId="23" fillId="10" borderId="35" xfId="0" applyFont="1" applyFill="1" applyBorder="1" applyAlignment="1">
      <alignment horizontal="left"/>
    </xf>
    <xf numFmtId="0" fontId="21" fillId="0" borderId="35" xfId="0" applyFont="1" applyBorder="1"/>
    <xf numFmtId="0" fontId="20" fillId="3" borderId="37" xfId="0" applyFont="1" applyFill="1" applyBorder="1"/>
    <xf numFmtId="0" fontId="21" fillId="0" borderId="41" xfId="0" applyFont="1" applyBorder="1"/>
    <xf numFmtId="0" fontId="23" fillId="8" borderId="56" xfId="0" applyFont="1" applyFill="1" applyBorder="1" applyAlignment="1">
      <alignment horizontal="center"/>
    </xf>
    <xf numFmtId="4" fontId="20" fillId="3" borderId="44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" fillId="0" borderId="0" xfId="0" applyFont="1"/>
    <xf numFmtId="166" fontId="1" fillId="3" borderId="0" xfId="0" applyNumberFormat="1" applyFont="1" applyFill="1"/>
    <xf numFmtId="166" fontId="17" fillId="5" borderId="0" xfId="0" applyNumberFormat="1" applyFont="1" applyFill="1"/>
    <xf numFmtId="0" fontId="4" fillId="8" borderId="0" xfId="0" applyFont="1" applyFill="1" applyAlignment="1">
      <alignment horizontal="center"/>
    </xf>
    <xf numFmtId="0" fontId="23" fillId="8" borderId="27" xfId="0" applyFont="1" applyFill="1" applyBorder="1"/>
    <xf numFmtId="164" fontId="9" fillId="0" borderId="0" xfId="0" applyNumberFormat="1" applyFont="1"/>
    <xf numFmtId="4" fontId="9" fillId="0" borderId="0" xfId="0" applyNumberFormat="1" applyFont="1"/>
    <xf numFmtId="0" fontId="1" fillId="3" borderId="0" xfId="0" applyFont="1" applyFill="1"/>
    <xf numFmtId="166" fontId="1" fillId="5" borderId="0" xfId="0" applyNumberFormat="1" applyFont="1" applyFill="1"/>
    <xf numFmtId="0" fontId="23" fillId="8" borderId="34" xfId="0" applyFont="1" applyFill="1" applyBorder="1"/>
    <xf numFmtId="0" fontId="1" fillId="16" borderId="56" xfId="0" applyFont="1" applyFill="1" applyBorder="1"/>
    <xf numFmtId="164" fontId="5" fillId="0" borderId="9" xfId="0" applyNumberFormat="1" applyFont="1" applyBorder="1" applyAlignment="1">
      <alignment horizontal="center"/>
    </xf>
    <xf numFmtId="0" fontId="10" fillId="0" borderId="0" xfId="0" applyFont="1"/>
    <xf numFmtId="168" fontId="10" fillId="0" borderId="0" xfId="0" applyNumberFormat="1" applyFont="1"/>
    <xf numFmtId="166" fontId="1" fillId="0" borderId="0" xfId="0" applyNumberFormat="1" applyFont="1"/>
    <xf numFmtId="166" fontId="1" fillId="3" borderId="16" xfId="0" applyNumberFormat="1" applyFont="1" applyFill="1" applyBorder="1"/>
    <xf numFmtId="166" fontId="1" fillId="0" borderId="16" xfId="0" applyNumberFormat="1" applyFont="1" applyBorder="1"/>
    <xf numFmtId="0" fontId="1" fillId="5" borderId="51" xfId="0" applyFont="1" applyFill="1" applyBorder="1"/>
    <xf numFmtId="166" fontId="1" fillId="5" borderId="51" xfId="0" applyNumberFormat="1" applyFont="1" applyFill="1" applyBorder="1"/>
    <xf numFmtId="9" fontId="10" fillId="0" borderId="58" xfId="0" applyNumberFormat="1" applyFont="1" applyBorder="1"/>
    <xf numFmtId="9" fontId="10" fillId="0" borderId="8" xfId="0" applyNumberFormat="1" applyFont="1" applyBorder="1"/>
    <xf numFmtId="166" fontId="1" fillId="5" borderId="59" xfId="0" applyNumberFormat="1" applyFont="1" applyFill="1" applyBorder="1"/>
    <xf numFmtId="9" fontId="10" fillId="0" borderId="59" xfId="0" applyNumberFormat="1" applyFont="1" applyBorder="1"/>
    <xf numFmtId="166" fontId="1" fillId="0" borderId="59" xfId="0" applyNumberFormat="1" applyFont="1" applyBorder="1"/>
    <xf numFmtId="0" fontId="4" fillId="11" borderId="0" xfId="0" applyFont="1" applyFill="1"/>
    <xf numFmtId="0" fontId="4" fillId="11" borderId="61" xfId="0" applyFont="1" applyFill="1" applyBorder="1"/>
    <xf numFmtId="0" fontId="1" fillId="3" borderId="61" xfId="0" applyFont="1" applyFill="1" applyBorder="1"/>
    <xf numFmtId="0" fontId="4" fillId="11" borderId="65" xfId="0" applyFont="1" applyFill="1" applyBorder="1"/>
    <xf numFmtId="0" fontId="1" fillId="3" borderId="65" xfId="0" applyFont="1" applyFill="1" applyBorder="1"/>
    <xf numFmtId="0" fontId="1" fillId="5" borderId="69" xfId="0" applyFont="1" applyFill="1" applyBorder="1"/>
    <xf numFmtId="0" fontId="4" fillId="8" borderId="0" xfId="0" applyFont="1" applyFill="1"/>
    <xf numFmtId="166" fontId="19" fillId="0" borderId="0" xfId="0" applyNumberFormat="1" applyFont="1"/>
    <xf numFmtId="164" fontId="1" fillId="0" borderId="0" xfId="0" applyNumberFormat="1" applyFont="1"/>
    <xf numFmtId="0" fontId="15" fillId="6" borderId="70" xfId="0" applyFont="1" applyFill="1" applyBorder="1"/>
    <xf numFmtId="0" fontId="14" fillId="0" borderId="70" xfId="0" applyFont="1" applyBorder="1"/>
    <xf numFmtId="0" fontId="4" fillId="8" borderId="72" xfId="0" applyFont="1" applyFill="1" applyBorder="1"/>
    <xf numFmtId="0" fontId="4" fillId="8" borderId="73" xfId="0" applyFont="1" applyFill="1" applyBorder="1"/>
    <xf numFmtId="0" fontId="0" fillId="0" borderId="73" xfId="0" applyBorder="1"/>
    <xf numFmtId="0" fontId="20" fillId="16" borderId="0" xfId="0" applyFont="1" applyFill="1"/>
    <xf numFmtId="0" fontId="21" fillId="0" borderId="75" xfId="0" applyFont="1" applyBorder="1"/>
    <xf numFmtId="166" fontId="21" fillId="0" borderId="75" xfId="0" applyNumberFormat="1" applyFont="1" applyBorder="1"/>
    <xf numFmtId="164" fontId="21" fillId="0" borderId="75" xfId="0" applyNumberFormat="1" applyFont="1" applyBorder="1"/>
    <xf numFmtId="0" fontId="21" fillId="0" borderId="8" xfId="0" applyFont="1" applyBorder="1"/>
    <xf numFmtId="166" fontId="21" fillId="0" borderId="8" xfId="0" applyNumberFormat="1" applyFont="1" applyBorder="1"/>
    <xf numFmtId="164" fontId="21" fillId="0" borderId="8" xfId="0" applyNumberFormat="1" applyFont="1" applyBorder="1"/>
    <xf numFmtId="0" fontId="21" fillId="0" borderId="76" xfId="0" applyFont="1" applyBorder="1"/>
    <xf numFmtId="166" fontId="21" fillId="0" borderId="76" xfId="0" applyNumberFormat="1" applyFont="1" applyBorder="1"/>
    <xf numFmtId="164" fontId="21" fillId="0" borderId="76" xfId="0" applyNumberFormat="1" applyFont="1" applyBorder="1"/>
    <xf numFmtId="164" fontId="21" fillId="0" borderId="21" xfId="0" applyNumberFormat="1" applyFont="1" applyBorder="1" applyAlignment="1">
      <alignment horizontal="center"/>
    </xf>
    <xf numFmtId="164" fontId="21" fillId="0" borderId="22" xfId="0" applyNumberFormat="1" applyFont="1" applyBorder="1" applyAlignment="1">
      <alignment horizontal="center"/>
    </xf>
    <xf numFmtId="164" fontId="21" fillId="0" borderId="23" xfId="0" applyNumberFormat="1" applyFont="1" applyBorder="1" applyAlignment="1">
      <alignment horizontal="center"/>
    </xf>
    <xf numFmtId="10" fontId="20" fillId="4" borderId="50" xfId="0" applyNumberFormat="1" applyFont="1" applyFill="1" applyBorder="1" applyAlignment="1">
      <alignment horizontal="center"/>
    </xf>
    <xf numFmtId="0" fontId="20" fillId="3" borderId="77" xfId="0" applyFont="1" applyFill="1" applyBorder="1" applyAlignment="1">
      <alignment horizontal="center"/>
    </xf>
    <xf numFmtId="10" fontId="22" fillId="7" borderId="18" xfId="0" applyNumberFormat="1" applyFont="1" applyFill="1" applyBorder="1" applyAlignment="1">
      <alignment horizontal="center"/>
    </xf>
    <xf numFmtId="10" fontId="22" fillId="7" borderId="19" xfId="0" applyNumberFormat="1" applyFont="1" applyFill="1" applyBorder="1" applyAlignment="1">
      <alignment horizontal="center"/>
    </xf>
    <xf numFmtId="10" fontId="22" fillId="7" borderId="20" xfId="0" applyNumberFormat="1" applyFont="1" applyFill="1" applyBorder="1" applyAlignment="1">
      <alignment horizontal="center"/>
    </xf>
    <xf numFmtId="169" fontId="22" fillId="7" borderId="21" xfId="0" applyNumberFormat="1" applyFont="1" applyFill="1" applyBorder="1" applyAlignment="1">
      <alignment horizontal="center"/>
    </xf>
    <xf numFmtId="169" fontId="22" fillId="7" borderId="22" xfId="0" applyNumberFormat="1" applyFont="1" applyFill="1" applyBorder="1" applyAlignment="1">
      <alignment horizontal="center"/>
    </xf>
    <xf numFmtId="169" fontId="22" fillId="7" borderId="23" xfId="0" applyNumberFormat="1" applyFont="1" applyFill="1" applyBorder="1" applyAlignment="1">
      <alignment horizontal="center"/>
    </xf>
    <xf numFmtId="10" fontId="22" fillId="7" borderId="78" xfId="0" applyNumberFormat="1" applyFont="1" applyFill="1" applyBorder="1" applyAlignment="1">
      <alignment horizontal="center"/>
    </xf>
    <xf numFmtId="10" fontId="22" fillId="7" borderId="79" xfId="0" applyNumberFormat="1" applyFont="1" applyFill="1" applyBorder="1" applyAlignment="1">
      <alignment horizontal="center"/>
    </xf>
    <xf numFmtId="10" fontId="22" fillId="7" borderId="80" xfId="0" applyNumberFormat="1" applyFont="1" applyFill="1" applyBorder="1" applyAlignment="1">
      <alignment horizontal="center"/>
    </xf>
    <xf numFmtId="0" fontId="29" fillId="0" borderId="0" xfId="0" applyFont="1"/>
    <xf numFmtId="10" fontId="31" fillId="0" borderId="0" xfId="0" applyNumberFormat="1" applyFont="1" applyAlignment="1">
      <alignment horizontal="center"/>
    </xf>
    <xf numFmtId="10" fontId="25" fillId="0" borderId="0" xfId="0" applyNumberFormat="1" applyFont="1" applyAlignment="1">
      <alignment horizontal="center"/>
    </xf>
    <xf numFmtId="0" fontId="29" fillId="7" borderId="0" xfId="0" applyFont="1" applyFill="1"/>
    <xf numFmtId="10" fontId="24" fillId="4" borderId="70" xfId="0" applyNumberFormat="1" applyFont="1" applyFill="1" applyBorder="1" applyAlignment="1">
      <alignment horizontal="center"/>
    </xf>
    <xf numFmtId="0" fontId="29" fillId="17" borderId="72" xfId="0" applyFont="1" applyFill="1" applyBorder="1"/>
    <xf numFmtId="0" fontId="23" fillId="10" borderId="72" xfId="0" applyFont="1" applyFill="1" applyBorder="1"/>
    <xf numFmtId="0" fontId="22" fillId="0" borderId="72" xfId="0" applyFont="1" applyBorder="1"/>
    <xf numFmtId="0" fontId="24" fillId="0" borderId="72" xfId="0" applyFont="1" applyBorder="1"/>
    <xf numFmtId="0" fontId="24" fillId="4" borderId="72" xfId="0" applyFont="1" applyFill="1" applyBorder="1"/>
    <xf numFmtId="0" fontId="24" fillId="3" borderId="81" xfId="0" applyFont="1" applyFill="1" applyBorder="1"/>
    <xf numFmtId="0" fontId="22" fillId="7" borderId="72" xfId="0" applyFont="1" applyFill="1" applyBorder="1"/>
    <xf numFmtId="0" fontId="24" fillId="4" borderId="71" xfId="0" applyFont="1" applyFill="1" applyBorder="1"/>
    <xf numFmtId="0" fontId="23" fillId="10" borderId="7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3" fillId="10" borderId="3" xfId="0" applyFont="1" applyFill="1" applyBorder="1" applyAlignment="1">
      <alignment horizontal="center"/>
    </xf>
    <xf numFmtId="0" fontId="23" fillId="11" borderId="3" xfId="0" applyFont="1" applyFill="1" applyBorder="1" applyAlignment="1">
      <alignment horizontal="center"/>
    </xf>
    <xf numFmtId="164" fontId="23" fillId="10" borderId="3" xfId="0" applyNumberFormat="1" applyFont="1" applyFill="1" applyBorder="1" applyAlignment="1">
      <alignment horizontal="center"/>
    </xf>
    <xf numFmtId="3" fontId="23" fillId="10" borderId="3" xfId="0" applyNumberFormat="1" applyFont="1" applyFill="1" applyBorder="1" applyAlignment="1">
      <alignment horizontal="center"/>
    </xf>
    <xf numFmtId="0" fontId="30" fillId="0" borderId="0" xfId="0" applyFont="1" applyAlignment="1">
      <alignment wrapText="1"/>
    </xf>
    <xf numFmtId="0" fontId="30" fillId="0" borderId="86" xfId="0" applyFont="1" applyBorder="1" applyAlignment="1">
      <alignment wrapText="1"/>
    </xf>
    <xf numFmtId="0" fontId="20" fillId="15" borderId="35" xfId="0" applyFont="1" applyFill="1" applyBorder="1"/>
    <xf numFmtId="0" fontId="20" fillId="16" borderId="36" xfId="0" applyFont="1" applyFill="1" applyBorder="1"/>
    <xf numFmtId="0" fontId="32" fillId="0" borderId="35" xfId="0" applyFont="1" applyBorder="1"/>
    <xf numFmtId="0" fontId="21" fillId="15" borderId="35" xfId="0" applyFont="1" applyFill="1" applyBorder="1"/>
    <xf numFmtId="0" fontId="20" fillId="4" borderId="38" xfId="0" applyFont="1" applyFill="1" applyBorder="1"/>
    <xf numFmtId="0" fontId="23" fillId="11" borderId="39" xfId="0" applyFont="1" applyFill="1" applyBorder="1"/>
    <xf numFmtId="0" fontId="20" fillId="16" borderId="33" xfId="0" applyFont="1" applyFill="1" applyBorder="1"/>
    <xf numFmtId="0" fontId="20" fillId="16" borderId="48" xfId="0" applyFont="1" applyFill="1" applyBorder="1"/>
    <xf numFmtId="0" fontId="25" fillId="0" borderId="49" xfId="0" applyFont="1" applyBorder="1"/>
    <xf numFmtId="0" fontId="32" fillId="15" borderId="35" xfId="0" applyFont="1" applyFill="1" applyBorder="1"/>
    <xf numFmtId="0" fontId="20" fillId="4" borderId="53" xfId="0" applyFont="1" applyFill="1" applyBorder="1"/>
    <xf numFmtId="0" fontId="20" fillId="16" borderId="54" xfId="0" applyFont="1" applyFill="1" applyBorder="1"/>
    <xf numFmtId="0" fontId="23" fillId="11" borderId="55" xfId="0" applyFont="1" applyFill="1" applyBorder="1"/>
    <xf numFmtId="0" fontId="20" fillId="0" borderId="35" xfId="0" applyFont="1" applyBorder="1"/>
    <xf numFmtId="0" fontId="20" fillId="5" borderId="35" xfId="0" applyFont="1" applyFill="1" applyBorder="1"/>
    <xf numFmtId="0" fontId="24" fillId="16" borderId="35" xfId="0" applyFont="1" applyFill="1" applyBorder="1"/>
    <xf numFmtId="0" fontId="20" fillId="3" borderId="35" xfId="0" applyFont="1" applyFill="1" applyBorder="1"/>
    <xf numFmtId="0" fontId="3" fillId="0" borderId="35" xfId="0" applyFont="1" applyBorder="1"/>
    <xf numFmtId="0" fontId="33" fillId="0" borderId="0" xfId="0" applyFont="1"/>
    <xf numFmtId="0" fontId="20" fillId="0" borderId="0" xfId="0" applyFont="1"/>
    <xf numFmtId="0" fontId="20" fillId="16" borderId="11" xfId="0" applyFont="1" applyFill="1" applyBorder="1"/>
    <xf numFmtId="0" fontId="20" fillId="0" borderId="16" xfId="0" applyFont="1" applyBorder="1"/>
    <xf numFmtId="0" fontId="21" fillId="0" borderId="62" xfId="0" applyFont="1" applyBorder="1"/>
    <xf numFmtId="0" fontId="21" fillId="0" borderId="63" xfId="0" applyFont="1" applyBorder="1"/>
    <xf numFmtId="0" fontId="20" fillId="0" borderId="64" xfId="0" applyFont="1" applyBorder="1"/>
    <xf numFmtId="0" fontId="20" fillId="5" borderId="60" xfId="0" applyFont="1" applyFill="1" applyBorder="1"/>
    <xf numFmtId="0" fontId="20" fillId="0" borderId="72" xfId="0" applyFont="1" applyBorder="1"/>
    <xf numFmtId="0" fontId="20" fillId="0" borderId="71" xfId="0" applyFont="1" applyBorder="1"/>
    <xf numFmtId="0" fontId="0" fillId="15" borderId="0" xfId="0" applyFill="1"/>
    <xf numFmtId="4" fontId="0" fillId="15" borderId="18" xfId="0" applyNumberFormat="1" applyFill="1" applyBorder="1" applyAlignment="1">
      <alignment horizontal="center"/>
    </xf>
    <xf numFmtId="4" fontId="0" fillId="15" borderId="19" xfId="0" applyNumberFormat="1" applyFill="1" applyBorder="1" applyAlignment="1">
      <alignment horizontal="center"/>
    </xf>
    <xf numFmtId="4" fontId="0" fillId="15" borderId="43" xfId="0" applyNumberFormat="1" applyFill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4" fontId="0" fillId="0" borderId="22" xfId="0" applyNumberFormat="1" applyBorder="1" applyAlignment="1">
      <alignment horizontal="center"/>
    </xf>
    <xf numFmtId="4" fontId="0" fillId="0" borderId="44" xfId="0" applyNumberFormat="1" applyBorder="1" applyAlignment="1">
      <alignment horizontal="center"/>
    </xf>
    <xf numFmtId="0" fontId="0" fillId="0" borderId="35" xfId="0" applyBorder="1"/>
    <xf numFmtId="0" fontId="0" fillId="0" borderId="21" xfId="0" applyBorder="1"/>
    <xf numFmtId="0" fontId="0" fillId="0" borderId="22" xfId="0" applyBorder="1"/>
    <xf numFmtId="4" fontId="0" fillId="15" borderId="21" xfId="0" applyNumberFormat="1" applyFill="1" applyBorder="1" applyAlignment="1">
      <alignment horizontal="center"/>
    </xf>
    <xf numFmtId="4" fontId="0" fillId="15" borderId="22" xfId="0" applyNumberFormat="1" applyFill="1" applyBorder="1" applyAlignment="1">
      <alignment horizontal="center"/>
    </xf>
    <xf numFmtId="4" fontId="0" fillId="15" borderId="44" xfId="0" applyNumberFormat="1" applyFill="1" applyBorder="1" applyAlignment="1">
      <alignment horizontal="center"/>
    </xf>
    <xf numFmtId="164" fontId="0" fillId="15" borderId="21" xfId="0" applyNumberFormat="1" applyFill="1" applyBorder="1" applyAlignment="1">
      <alignment horizontal="center"/>
    </xf>
    <xf numFmtId="164" fontId="0" fillId="15" borderId="22" xfId="0" applyNumberFormat="1" applyFill="1" applyBorder="1" applyAlignment="1">
      <alignment horizontal="center"/>
    </xf>
    <xf numFmtId="164" fontId="0" fillId="15" borderId="44" xfId="0" applyNumberFormat="1" applyFill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0" fontId="0" fillId="0" borderId="29" xfId="0" applyBorder="1"/>
    <xf numFmtId="164" fontId="0" fillId="0" borderId="30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4" fontId="0" fillId="0" borderId="18" xfId="0" applyNumberFormat="1" applyBorder="1" applyAlignment="1">
      <alignment horizontal="center"/>
    </xf>
    <xf numFmtId="4" fontId="0" fillId="0" borderId="1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9" fontId="0" fillId="0" borderId="21" xfId="0" applyNumberFormat="1" applyBorder="1" applyAlignment="1">
      <alignment horizontal="center"/>
    </xf>
    <xf numFmtId="169" fontId="0" fillId="0" borderId="22" xfId="0" applyNumberFormat="1" applyBorder="1" applyAlignment="1">
      <alignment horizontal="center"/>
    </xf>
    <xf numFmtId="4" fontId="0" fillId="0" borderId="30" xfId="0" applyNumberFormat="1" applyBorder="1" applyAlignment="1">
      <alignment horizontal="center"/>
    </xf>
    <xf numFmtId="4" fontId="0" fillId="0" borderId="31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4" fontId="0" fillId="0" borderId="22" xfId="0" applyNumberFormat="1" applyBorder="1"/>
    <xf numFmtId="164" fontId="0" fillId="0" borderId="18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17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0" fontId="0" fillId="0" borderId="16" xfId="0" applyBorder="1"/>
    <xf numFmtId="166" fontId="0" fillId="0" borderId="58" xfId="0" applyNumberFormat="1" applyBorder="1"/>
    <xf numFmtId="0" fontId="0" fillId="0" borderId="58" xfId="0" applyBorder="1"/>
    <xf numFmtId="0" fontId="0" fillId="0" borderId="66" xfId="0" applyBorder="1"/>
    <xf numFmtId="166" fontId="0" fillId="0" borderId="8" xfId="0" applyNumberFormat="1" applyBorder="1"/>
    <xf numFmtId="0" fontId="0" fillId="0" borderId="67" xfId="0" applyBorder="1"/>
    <xf numFmtId="0" fontId="0" fillId="0" borderId="59" xfId="0" applyBorder="1"/>
    <xf numFmtId="0" fontId="0" fillId="0" borderId="68" xfId="0" applyBorder="1"/>
    <xf numFmtId="0" fontId="0" fillId="0" borderId="70" xfId="0" applyBorder="1"/>
    <xf numFmtId="0" fontId="0" fillId="0" borderId="74" xfId="0" applyBorder="1"/>
    <xf numFmtId="0" fontId="0" fillId="0" borderId="72" xfId="0" applyBorder="1"/>
    <xf numFmtId="0" fontId="0" fillId="4" borderId="0" xfId="0" applyFill="1"/>
    <xf numFmtId="0" fontId="0" fillId="3" borderId="77" xfId="0" applyFill="1" applyBorder="1"/>
    <xf numFmtId="0" fontId="0" fillId="4" borderId="70" xfId="0" applyFill="1" applyBorder="1"/>
    <xf numFmtId="3" fontId="19" fillId="7" borderId="4" xfId="0" applyNumberFormat="1" applyFont="1" applyFill="1" applyBorder="1" applyAlignment="1">
      <alignment horizontal="center"/>
    </xf>
    <xf numFmtId="0" fontId="23" fillId="12" borderId="0" xfId="0" applyFont="1" applyFill="1"/>
    <xf numFmtId="0" fontId="23" fillId="12" borderId="0" xfId="0" applyFont="1" applyFill="1" applyAlignment="1">
      <alignment horizontal="center"/>
    </xf>
    <xf numFmtId="3" fontId="23" fillId="12" borderId="0" xfId="0" applyNumberFormat="1" applyFont="1" applyFill="1" applyAlignment="1">
      <alignment horizontal="center"/>
    </xf>
    <xf numFmtId="0" fontId="2" fillId="0" borderId="3" xfId="0" applyFont="1" applyBorder="1"/>
    <xf numFmtId="4" fontId="10" fillId="0" borderId="3" xfId="0" applyNumberFormat="1" applyFont="1" applyBorder="1" applyAlignment="1">
      <alignment horizontal="center"/>
    </xf>
    <xf numFmtId="3" fontId="6" fillId="7" borderId="4" xfId="0" applyNumberFormat="1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28" fillId="10" borderId="87" xfId="0" applyFont="1" applyFill="1" applyBorder="1" applyAlignment="1">
      <alignment horizontal="center"/>
    </xf>
    <xf numFmtId="0" fontId="28" fillId="11" borderId="87" xfId="0" applyFont="1" applyFill="1" applyBorder="1" applyAlignment="1">
      <alignment horizontal="center"/>
    </xf>
    <xf numFmtId="0" fontId="28" fillId="12" borderId="87" xfId="0" applyFont="1" applyFill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9" xfId="0" applyFont="1" applyBorder="1"/>
    <xf numFmtId="4" fontId="9" fillId="0" borderId="5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3" fontId="10" fillId="0" borderId="3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3" fontId="19" fillId="0" borderId="3" xfId="0" applyNumberFormat="1" applyFont="1" applyBorder="1" applyAlignment="1">
      <alignment horizontal="center"/>
    </xf>
    <xf numFmtId="4" fontId="0" fillId="15" borderId="20" xfId="0" applyNumberFormat="1" applyFill="1" applyBorder="1" applyAlignment="1">
      <alignment horizontal="center"/>
    </xf>
    <xf numFmtId="4" fontId="0" fillId="0" borderId="23" xfId="0" applyNumberFormat="1" applyBorder="1" applyAlignment="1">
      <alignment horizontal="center"/>
    </xf>
    <xf numFmtId="0" fontId="0" fillId="0" borderId="23" xfId="0" applyBorder="1"/>
    <xf numFmtId="4" fontId="0" fillId="15" borderId="23" xfId="0" applyNumberFormat="1" applyFill="1" applyBorder="1" applyAlignment="1">
      <alignment horizontal="center"/>
    </xf>
    <xf numFmtId="164" fontId="0" fillId="15" borderId="23" xfId="0" applyNumberForma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4" xfId="0" applyBorder="1" applyAlignment="1">
      <alignment horizontal="center"/>
    </xf>
    <xf numFmtId="4" fontId="0" fillId="7" borderId="22" xfId="0" applyNumberFormat="1" applyFill="1" applyBorder="1" applyAlignment="1">
      <alignment horizontal="center"/>
    </xf>
    <xf numFmtId="4" fontId="0" fillId="7" borderId="21" xfId="0" applyNumberFormat="1" applyFill="1" applyBorder="1" applyAlignment="1">
      <alignment horizontal="center"/>
    </xf>
    <xf numFmtId="4" fontId="0" fillId="7" borderId="23" xfId="0" applyNumberFormat="1" applyFill="1" applyBorder="1" applyAlignment="1">
      <alignment horizontal="center"/>
    </xf>
    <xf numFmtId="4" fontId="0" fillId="7" borderId="44" xfId="0" applyNumberFormat="1" applyFill="1" applyBorder="1" applyAlignment="1">
      <alignment horizontal="center"/>
    </xf>
    <xf numFmtId="164" fontId="14" fillId="7" borderId="22" xfId="0" applyNumberFormat="1" applyFont="1" applyFill="1" applyBorder="1" applyAlignment="1">
      <alignment horizontal="center"/>
    </xf>
    <xf numFmtId="164" fontId="14" fillId="7" borderId="21" xfId="0" applyNumberFormat="1" applyFont="1" applyFill="1" applyBorder="1" applyAlignment="1">
      <alignment horizontal="center"/>
    </xf>
    <xf numFmtId="164" fontId="14" fillId="7" borderId="23" xfId="0" applyNumberFormat="1" applyFont="1" applyFill="1" applyBorder="1" applyAlignment="1">
      <alignment horizontal="center"/>
    </xf>
    <xf numFmtId="164" fontId="14" fillId="7" borderId="44" xfId="0" applyNumberFormat="1" applyFont="1" applyFill="1" applyBorder="1" applyAlignment="1">
      <alignment horizontal="center"/>
    </xf>
    <xf numFmtId="0" fontId="1" fillId="16" borderId="22" xfId="0" applyFont="1" applyFill="1" applyBorder="1" applyAlignment="1">
      <alignment horizontal="center"/>
    </xf>
    <xf numFmtId="0" fontId="1" fillId="16" borderId="21" xfId="0" applyFont="1" applyFill="1" applyBorder="1" applyAlignment="1">
      <alignment horizontal="center"/>
    </xf>
    <xf numFmtId="0" fontId="1" fillId="16" borderId="23" xfId="0" applyFont="1" applyFill="1" applyBorder="1" applyAlignment="1">
      <alignment horizontal="center"/>
    </xf>
    <xf numFmtId="0" fontId="1" fillId="16" borderId="44" xfId="0" applyFont="1" applyFill="1" applyBorder="1" applyAlignment="1">
      <alignment horizontal="center"/>
    </xf>
    <xf numFmtId="166" fontId="0" fillId="7" borderId="25" xfId="0" applyNumberFormat="1" applyFill="1" applyBorder="1" applyAlignment="1">
      <alignment horizontal="center"/>
    </xf>
    <xf numFmtId="166" fontId="0" fillId="7" borderId="24" xfId="0" applyNumberFormat="1" applyFill="1" applyBorder="1" applyAlignment="1">
      <alignment horizontal="center"/>
    </xf>
    <xf numFmtId="166" fontId="0" fillId="7" borderId="26" xfId="0" applyNumberFormat="1" applyFill="1" applyBorder="1" applyAlignment="1">
      <alignment horizontal="center"/>
    </xf>
    <xf numFmtId="166" fontId="0" fillId="7" borderId="88" xfId="0" applyNumberFormat="1" applyFill="1" applyBorder="1" applyAlignment="1">
      <alignment horizontal="center"/>
    </xf>
    <xf numFmtId="164" fontId="0" fillId="7" borderId="31" xfId="0" applyNumberFormat="1" applyFill="1" applyBorder="1" applyAlignment="1">
      <alignment horizontal="center"/>
    </xf>
    <xf numFmtId="164" fontId="0" fillId="7" borderId="30" xfId="0" applyNumberFormat="1" applyFill="1" applyBorder="1" applyAlignment="1">
      <alignment horizontal="center"/>
    </xf>
    <xf numFmtId="164" fontId="0" fillId="7" borderId="32" xfId="0" applyNumberFormat="1" applyFill="1" applyBorder="1" applyAlignment="1">
      <alignment horizontal="center"/>
    </xf>
    <xf numFmtId="164" fontId="0" fillId="7" borderId="45" xfId="0" applyNumberFormat="1" applyFill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9" fontId="0" fillId="0" borderId="23" xfId="0" applyNumberFormat="1" applyBorder="1" applyAlignment="1">
      <alignment horizontal="center"/>
    </xf>
    <xf numFmtId="4" fontId="0" fillId="0" borderId="32" xfId="0" applyNumberFormat="1" applyBorder="1" applyAlignment="1">
      <alignment horizontal="center"/>
    </xf>
    <xf numFmtId="4" fontId="0" fillId="7" borderId="19" xfId="0" applyNumberFormat="1" applyFill="1" applyBorder="1" applyAlignment="1">
      <alignment horizontal="center"/>
    </xf>
    <xf numFmtId="4" fontId="0" fillId="7" borderId="18" xfId="0" applyNumberFormat="1" applyFill="1" applyBorder="1" applyAlignment="1">
      <alignment horizontal="center"/>
    </xf>
    <xf numFmtId="4" fontId="0" fillId="7" borderId="20" xfId="0" applyNumberFormat="1" applyFill="1" applyBorder="1" applyAlignment="1">
      <alignment horizontal="center"/>
    </xf>
    <xf numFmtId="4" fontId="0" fillId="7" borderId="43" xfId="0" applyNumberFormat="1" applyFill="1" applyBorder="1" applyAlignment="1">
      <alignment horizontal="center"/>
    </xf>
    <xf numFmtId="4" fontId="4" fillId="10" borderId="22" xfId="0" applyNumberFormat="1" applyFont="1" applyFill="1" applyBorder="1" applyAlignment="1">
      <alignment horizontal="center"/>
    </xf>
    <xf numFmtId="4" fontId="4" fillId="10" borderId="21" xfId="0" applyNumberFormat="1" applyFont="1" applyFill="1" applyBorder="1" applyAlignment="1">
      <alignment horizontal="center"/>
    </xf>
    <xf numFmtId="4" fontId="4" fillId="10" borderId="23" xfId="0" applyNumberFormat="1" applyFont="1" applyFill="1" applyBorder="1" applyAlignment="1">
      <alignment horizontal="center"/>
    </xf>
    <xf numFmtId="4" fontId="4" fillId="10" borderId="44" xfId="0" applyNumberFormat="1" applyFont="1" applyFill="1" applyBorder="1" applyAlignment="1">
      <alignment horizontal="center"/>
    </xf>
    <xf numFmtId="4" fontId="13" fillId="7" borderId="22" xfId="0" applyNumberFormat="1" applyFont="1" applyFill="1" applyBorder="1" applyAlignment="1">
      <alignment horizontal="center"/>
    </xf>
    <xf numFmtId="4" fontId="13" fillId="7" borderId="21" xfId="0" applyNumberFormat="1" applyFont="1" applyFill="1" applyBorder="1" applyAlignment="1">
      <alignment horizontal="center"/>
    </xf>
    <xf numFmtId="4" fontId="13" fillId="7" borderId="23" xfId="0" applyNumberFormat="1" applyFont="1" applyFill="1" applyBorder="1" applyAlignment="1">
      <alignment horizontal="center"/>
    </xf>
    <xf numFmtId="4" fontId="13" fillId="7" borderId="44" xfId="0" applyNumberFormat="1" applyFont="1" applyFill="1" applyBorder="1" applyAlignment="1">
      <alignment horizontal="center"/>
    </xf>
    <xf numFmtId="164" fontId="0" fillId="7" borderId="22" xfId="0" applyNumberFormat="1" applyFill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164" fontId="0" fillId="7" borderId="23" xfId="0" applyNumberFormat="1" applyFill="1" applyBorder="1" applyAlignment="1">
      <alignment horizontal="center"/>
    </xf>
    <xf numFmtId="164" fontId="0" fillId="7" borderId="44" xfId="0" applyNumberFormat="1" applyFill="1" applyBorder="1" applyAlignment="1">
      <alignment horizontal="center"/>
    </xf>
    <xf numFmtId="169" fontId="0" fillId="7" borderId="22" xfId="0" applyNumberFormat="1" applyFill="1" applyBorder="1" applyAlignment="1">
      <alignment horizontal="center"/>
    </xf>
    <xf numFmtId="169" fontId="0" fillId="7" borderId="21" xfId="0" applyNumberFormat="1" applyFill="1" applyBorder="1" applyAlignment="1">
      <alignment horizontal="center"/>
    </xf>
    <xf numFmtId="169" fontId="0" fillId="7" borderId="23" xfId="0" applyNumberFormat="1" applyFill="1" applyBorder="1" applyAlignment="1">
      <alignment horizontal="center"/>
    </xf>
    <xf numFmtId="169" fontId="0" fillId="7" borderId="44" xfId="0" applyNumberFormat="1" applyFill="1" applyBorder="1" applyAlignment="1">
      <alignment horizontal="center"/>
    </xf>
    <xf numFmtId="166" fontId="0" fillId="7" borderId="22" xfId="0" applyNumberFormat="1" applyFill="1" applyBorder="1" applyAlignment="1">
      <alignment horizontal="center"/>
    </xf>
    <xf numFmtId="166" fontId="0" fillId="7" borderId="21" xfId="0" applyNumberFormat="1" applyFill="1" applyBorder="1" applyAlignment="1">
      <alignment horizontal="center"/>
    </xf>
    <xf numFmtId="166" fontId="0" fillId="7" borderId="23" xfId="0" applyNumberFormat="1" applyFill="1" applyBorder="1" applyAlignment="1">
      <alignment horizontal="center"/>
    </xf>
    <xf numFmtId="166" fontId="0" fillId="7" borderId="44" xfId="0" applyNumberFormat="1" applyFill="1" applyBorder="1" applyAlignment="1">
      <alignment horizontal="center"/>
    </xf>
    <xf numFmtId="4" fontId="0" fillId="7" borderId="31" xfId="0" applyNumberFormat="1" applyFill="1" applyBorder="1" applyAlignment="1">
      <alignment horizontal="center"/>
    </xf>
    <xf numFmtId="4" fontId="0" fillId="7" borderId="30" xfId="0" applyNumberFormat="1" applyFill="1" applyBorder="1" applyAlignment="1">
      <alignment horizontal="center"/>
    </xf>
    <xf numFmtId="4" fontId="0" fillId="7" borderId="32" xfId="0" applyNumberFormat="1" applyFill="1" applyBorder="1" applyAlignment="1">
      <alignment horizontal="center"/>
    </xf>
    <xf numFmtId="4" fontId="0" fillId="7" borderId="45" xfId="0" applyNumberFormat="1" applyFill="1" applyBorder="1" applyAlignment="1">
      <alignment horizontal="center"/>
    </xf>
    <xf numFmtId="0" fontId="0" fillId="0" borderId="20" xfId="0" applyBorder="1"/>
    <xf numFmtId="4" fontId="0" fillId="0" borderId="23" xfId="0" applyNumberFormat="1" applyBorder="1"/>
    <xf numFmtId="4" fontId="1" fillId="16" borderId="25" xfId="0" applyNumberFormat="1" applyFont="1" applyFill="1" applyBorder="1" applyAlignment="1">
      <alignment horizontal="center"/>
    </xf>
    <xf numFmtId="4" fontId="1" fillId="16" borderId="24" xfId="0" applyNumberFormat="1" applyFont="1" applyFill="1" applyBorder="1" applyAlignment="1">
      <alignment horizontal="center"/>
    </xf>
    <xf numFmtId="4" fontId="1" fillId="16" borderId="26" xfId="0" applyNumberFormat="1" applyFont="1" applyFill="1" applyBorder="1" applyAlignment="1">
      <alignment horizontal="center"/>
    </xf>
    <xf numFmtId="4" fontId="1" fillId="16" borderId="88" xfId="0" applyNumberFormat="1" applyFont="1" applyFill="1" applyBorder="1" applyAlignment="1">
      <alignment horizontal="center"/>
    </xf>
    <xf numFmtId="0" fontId="0" fillId="7" borderId="19" xfId="0" applyFill="1" applyBorder="1"/>
    <xf numFmtId="0" fontId="0" fillId="7" borderId="18" xfId="0" applyFill="1" applyBorder="1"/>
    <xf numFmtId="0" fontId="0" fillId="7" borderId="20" xfId="0" applyFill="1" applyBorder="1"/>
    <xf numFmtId="0" fontId="0" fillId="7" borderId="43" xfId="0" applyFill="1" applyBorder="1"/>
    <xf numFmtId="164" fontId="0" fillId="0" borderId="20" xfId="0" applyNumberFormat="1" applyBorder="1" applyAlignment="1">
      <alignment horizontal="center"/>
    </xf>
    <xf numFmtId="0" fontId="4" fillId="10" borderId="56" xfId="0" applyFont="1" applyFill="1" applyBorder="1"/>
    <xf numFmtId="164" fontId="0" fillId="7" borderId="19" xfId="0" applyNumberFormat="1" applyFill="1" applyBorder="1" applyAlignment="1">
      <alignment horizontal="center"/>
    </xf>
    <xf numFmtId="164" fontId="0" fillId="7" borderId="18" xfId="0" applyNumberFormat="1" applyFill="1" applyBorder="1" applyAlignment="1">
      <alignment horizontal="center"/>
    </xf>
    <xf numFmtId="164" fontId="0" fillId="7" borderId="20" xfId="0" applyNumberFormat="1" applyFill="1" applyBorder="1" applyAlignment="1">
      <alignment horizontal="center"/>
    </xf>
    <xf numFmtId="164" fontId="0" fillId="7" borderId="43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7" borderId="26" xfId="0" applyNumberFormat="1" applyFill="1" applyBorder="1" applyAlignment="1">
      <alignment horizontal="center"/>
    </xf>
    <xf numFmtId="164" fontId="0" fillId="7" borderId="88" xfId="0" applyNumberFormat="1" applyFill="1" applyBorder="1" applyAlignment="1">
      <alignment horizontal="center"/>
    </xf>
    <xf numFmtId="4" fontId="21" fillId="7" borderId="19" xfId="0" applyNumberFormat="1" applyFont="1" applyFill="1" applyBorder="1" applyAlignment="1">
      <alignment horizontal="center"/>
    </xf>
    <xf numFmtId="4" fontId="21" fillId="7" borderId="18" xfId="0" applyNumberFormat="1" applyFont="1" applyFill="1" applyBorder="1" applyAlignment="1">
      <alignment horizontal="center"/>
    </xf>
    <xf numFmtId="4" fontId="21" fillId="7" borderId="20" xfId="0" applyNumberFormat="1" applyFont="1" applyFill="1" applyBorder="1" applyAlignment="1">
      <alignment horizontal="center"/>
    </xf>
    <xf numFmtId="4" fontId="21" fillId="7" borderId="43" xfId="0" applyNumberFormat="1" applyFont="1" applyFill="1" applyBorder="1" applyAlignment="1">
      <alignment horizontal="center"/>
    </xf>
    <xf numFmtId="4" fontId="21" fillId="7" borderId="22" xfId="0" applyNumberFormat="1" applyFont="1" applyFill="1" applyBorder="1" applyAlignment="1">
      <alignment horizontal="center"/>
    </xf>
    <xf numFmtId="4" fontId="21" fillId="7" borderId="21" xfId="0" applyNumberFormat="1" applyFont="1" applyFill="1" applyBorder="1" applyAlignment="1">
      <alignment horizontal="center"/>
    </xf>
    <xf numFmtId="4" fontId="21" fillId="7" borderId="23" xfId="0" applyNumberFormat="1" applyFont="1" applyFill="1" applyBorder="1" applyAlignment="1">
      <alignment horizontal="center"/>
    </xf>
    <xf numFmtId="4" fontId="21" fillId="7" borderId="44" xfId="0" applyNumberFormat="1" applyFont="1" applyFill="1" applyBorder="1" applyAlignment="1">
      <alignment horizontal="center"/>
    </xf>
    <xf numFmtId="166" fontId="21" fillId="7" borderId="22" xfId="0" applyNumberFormat="1" applyFont="1" applyFill="1" applyBorder="1" applyAlignment="1">
      <alignment horizontal="center"/>
    </xf>
    <xf numFmtId="166" fontId="21" fillId="7" borderId="21" xfId="0" applyNumberFormat="1" applyFont="1" applyFill="1" applyBorder="1" applyAlignment="1">
      <alignment horizontal="center"/>
    </xf>
    <xf numFmtId="166" fontId="21" fillId="7" borderId="23" xfId="0" applyNumberFormat="1" applyFont="1" applyFill="1" applyBorder="1" applyAlignment="1">
      <alignment horizontal="center"/>
    </xf>
    <xf numFmtId="166" fontId="21" fillId="7" borderId="44" xfId="0" applyNumberFormat="1" applyFont="1" applyFill="1" applyBorder="1" applyAlignment="1">
      <alignment horizontal="center"/>
    </xf>
    <xf numFmtId="166" fontId="21" fillId="7" borderId="25" xfId="0" applyNumberFormat="1" applyFont="1" applyFill="1" applyBorder="1" applyAlignment="1">
      <alignment horizontal="center"/>
    </xf>
    <xf numFmtId="166" fontId="21" fillId="7" borderId="24" xfId="0" applyNumberFormat="1" applyFont="1" applyFill="1" applyBorder="1" applyAlignment="1">
      <alignment horizontal="center"/>
    </xf>
    <xf numFmtId="166" fontId="21" fillId="7" borderId="26" xfId="0" applyNumberFormat="1" applyFont="1" applyFill="1" applyBorder="1" applyAlignment="1">
      <alignment horizontal="center"/>
    </xf>
    <xf numFmtId="166" fontId="21" fillId="7" borderId="88" xfId="0" applyNumberFormat="1" applyFont="1" applyFill="1" applyBorder="1" applyAlignment="1">
      <alignment horizontal="center"/>
    </xf>
    <xf numFmtId="4" fontId="21" fillId="7" borderId="31" xfId="0" applyNumberFormat="1" applyFont="1" applyFill="1" applyBorder="1" applyAlignment="1">
      <alignment horizontal="center"/>
    </xf>
    <xf numFmtId="4" fontId="21" fillId="7" borderId="30" xfId="0" applyNumberFormat="1" applyFont="1" applyFill="1" applyBorder="1" applyAlignment="1">
      <alignment horizontal="center"/>
    </xf>
    <xf numFmtId="4" fontId="21" fillId="7" borderId="32" xfId="0" applyNumberFormat="1" applyFont="1" applyFill="1" applyBorder="1" applyAlignment="1">
      <alignment horizontal="center"/>
    </xf>
    <xf numFmtId="4" fontId="21" fillId="7" borderId="45" xfId="0" applyNumberFormat="1" applyFont="1" applyFill="1" applyBorder="1" applyAlignment="1">
      <alignment horizontal="center"/>
    </xf>
    <xf numFmtId="167" fontId="0" fillId="7" borderId="21" xfId="0" applyNumberFormat="1" applyFill="1" applyBorder="1" applyAlignment="1">
      <alignment horizontal="center"/>
    </xf>
    <xf numFmtId="167" fontId="0" fillId="7" borderId="22" xfId="0" applyNumberFormat="1" applyFill="1" applyBorder="1" applyAlignment="1">
      <alignment horizontal="center"/>
    </xf>
    <xf numFmtId="167" fontId="0" fillId="7" borderId="23" xfId="0" applyNumberFormat="1" applyFill="1" applyBorder="1" applyAlignment="1">
      <alignment horizontal="center"/>
    </xf>
    <xf numFmtId="167" fontId="0" fillId="7" borderId="44" xfId="0" applyNumberFormat="1" applyFill="1" applyBorder="1" applyAlignment="1">
      <alignment horizontal="center"/>
    </xf>
    <xf numFmtId="0" fontId="0" fillId="7" borderId="29" xfId="0" applyFill="1" applyBorder="1"/>
    <xf numFmtId="0" fontId="0" fillId="7" borderId="57" xfId="0" applyFill="1" applyBorder="1"/>
    <xf numFmtId="0" fontId="0" fillId="7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43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88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56" xfId="0" applyFill="1" applyBorder="1" applyAlignment="1">
      <alignment horizontal="center"/>
    </xf>
    <xf numFmtId="164" fontId="5" fillId="7" borderId="24" xfId="0" applyNumberFormat="1" applyFont="1" applyFill="1" applyBorder="1" applyAlignment="1">
      <alignment horizontal="center"/>
    </xf>
    <xf numFmtId="164" fontId="5" fillId="7" borderId="25" xfId="0" applyNumberFormat="1" applyFont="1" applyFill="1" applyBorder="1" applyAlignment="1">
      <alignment horizontal="center"/>
    </xf>
    <xf numFmtId="164" fontId="5" fillId="7" borderId="88" xfId="0" applyNumberFormat="1" applyFont="1" applyFill="1" applyBorder="1" applyAlignment="1">
      <alignment horizontal="center"/>
    </xf>
    <xf numFmtId="4" fontId="0" fillId="7" borderId="24" xfId="0" applyNumberFormat="1" applyFill="1" applyBorder="1" applyAlignment="1">
      <alignment horizontal="center"/>
    </xf>
    <xf numFmtId="4" fontId="0" fillId="7" borderId="25" xfId="0" applyNumberFormat="1" applyFill="1" applyBorder="1" applyAlignment="1">
      <alignment horizontal="center"/>
    </xf>
    <xf numFmtId="4" fontId="0" fillId="7" borderId="88" xfId="0" applyNumberFormat="1" applyFill="1" applyBorder="1" applyAlignment="1">
      <alignment horizontal="center"/>
    </xf>
    <xf numFmtId="0" fontId="0" fillId="7" borderId="56" xfId="0" applyFill="1" applyBorder="1"/>
    <xf numFmtId="164" fontId="1" fillId="4" borderId="50" xfId="0" applyNumberFormat="1" applyFont="1" applyFill="1" applyBorder="1" applyAlignment="1">
      <alignment horizontal="center"/>
    </xf>
    <xf numFmtId="164" fontId="1" fillId="4" borderId="85" xfId="0" applyNumberFormat="1" applyFont="1" applyFill="1" applyBorder="1" applyAlignment="1">
      <alignment horizontal="center"/>
    </xf>
    <xf numFmtId="4" fontId="0" fillId="7" borderId="82" xfId="0" applyNumberFormat="1" applyFill="1" applyBorder="1" applyAlignment="1">
      <alignment horizontal="center"/>
    </xf>
    <xf numFmtId="4" fontId="0" fillId="7" borderId="83" xfId="0" applyNumberFormat="1" applyFill="1" applyBorder="1" applyAlignment="1">
      <alignment horizontal="center"/>
    </xf>
    <xf numFmtId="164" fontId="21" fillId="7" borderId="22" xfId="0" applyNumberFormat="1" applyFont="1" applyFill="1" applyBorder="1" applyAlignment="1">
      <alignment horizontal="center"/>
    </xf>
    <xf numFmtId="164" fontId="21" fillId="7" borderId="83" xfId="0" applyNumberFormat="1" applyFont="1" applyFill="1" applyBorder="1" applyAlignment="1">
      <alignment horizontal="center"/>
    </xf>
    <xf numFmtId="4" fontId="0" fillId="7" borderId="26" xfId="0" applyNumberFormat="1" applyFill="1" applyBorder="1" applyAlignment="1">
      <alignment horizontal="center"/>
    </xf>
    <xf numFmtId="4" fontId="0" fillId="7" borderId="84" xfId="0" applyNumberFormat="1" applyFill="1" applyBorder="1" applyAlignment="1">
      <alignment horizontal="center"/>
    </xf>
    <xf numFmtId="4" fontId="21" fillId="7" borderId="82" xfId="0" applyNumberFormat="1" applyFont="1" applyFill="1" applyBorder="1" applyAlignment="1">
      <alignment horizontal="center"/>
    </xf>
    <xf numFmtId="4" fontId="21" fillId="7" borderId="83" xfId="0" applyNumberFormat="1" applyFont="1" applyFill="1" applyBorder="1" applyAlignment="1">
      <alignment horizontal="center"/>
    </xf>
    <xf numFmtId="4" fontId="21" fillId="7" borderId="25" xfId="0" applyNumberFormat="1" applyFont="1" applyFill="1" applyBorder="1" applyAlignment="1">
      <alignment horizontal="center"/>
    </xf>
    <xf numFmtId="4" fontId="21" fillId="7" borderId="26" xfId="0" applyNumberFormat="1" applyFont="1" applyFill="1" applyBorder="1" applyAlignment="1">
      <alignment horizontal="center"/>
    </xf>
    <xf numFmtId="4" fontId="21" fillId="7" borderId="84" xfId="0" applyNumberFormat="1" applyFont="1" applyFill="1" applyBorder="1" applyAlignment="1">
      <alignment horizontal="center"/>
    </xf>
    <xf numFmtId="164" fontId="31" fillId="7" borderId="0" xfId="0" applyNumberFormat="1" applyFont="1" applyFill="1" applyAlignment="1">
      <alignment horizontal="center"/>
    </xf>
    <xf numFmtId="164" fontId="31" fillId="7" borderId="73" xfId="0" applyNumberFormat="1" applyFont="1" applyFill="1" applyBorder="1" applyAlignment="1">
      <alignment horizontal="center"/>
    </xf>
    <xf numFmtId="164" fontId="25" fillId="7" borderId="0" xfId="0" applyNumberFormat="1" applyFont="1" applyFill="1" applyAlignment="1">
      <alignment horizontal="center"/>
    </xf>
    <xf numFmtId="164" fontId="13" fillId="7" borderId="0" xfId="0" applyNumberFormat="1" applyFont="1" applyFill="1" applyAlignment="1">
      <alignment horizontal="center"/>
    </xf>
    <xf numFmtId="164" fontId="25" fillId="7" borderId="73" xfId="0" applyNumberFormat="1" applyFont="1" applyFill="1" applyBorder="1" applyAlignment="1">
      <alignment horizontal="center"/>
    </xf>
    <xf numFmtId="0" fontId="0" fillId="7" borderId="73" xfId="0" applyFill="1" applyBorder="1"/>
    <xf numFmtId="164" fontId="22" fillId="7" borderId="19" xfId="0" applyNumberFormat="1" applyFont="1" applyFill="1" applyBorder="1" applyAlignment="1">
      <alignment horizontal="center"/>
    </xf>
    <xf numFmtId="164" fontId="22" fillId="7" borderId="82" xfId="0" applyNumberFormat="1" applyFont="1" applyFill="1" applyBorder="1" applyAlignment="1">
      <alignment horizontal="center"/>
    </xf>
    <xf numFmtId="164" fontId="22" fillId="7" borderId="18" xfId="0" applyNumberFormat="1" applyFont="1" applyFill="1" applyBorder="1" applyAlignment="1">
      <alignment horizontal="center"/>
    </xf>
    <xf numFmtId="164" fontId="22" fillId="7" borderId="25" xfId="0" applyNumberFormat="1" applyFont="1" applyFill="1" applyBorder="1" applyAlignment="1">
      <alignment horizontal="center"/>
    </xf>
    <xf numFmtId="164" fontId="22" fillId="7" borderId="24" xfId="0" applyNumberFormat="1" applyFont="1" applyFill="1" applyBorder="1" applyAlignment="1">
      <alignment horizontal="center"/>
    </xf>
    <xf numFmtId="164" fontId="22" fillId="7" borderId="84" xfId="0" applyNumberFormat="1" applyFont="1" applyFill="1" applyBorder="1" applyAlignment="1">
      <alignment horizontal="center"/>
    </xf>
    <xf numFmtId="164" fontId="21" fillId="7" borderId="25" xfId="0" applyNumberFormat="1" applyFont="1" applyFill="1" applyBorder="1" applyAlignment="1">
      <alignment horizontal="center"/>
    </xf>
    <xf numFmtId="164" fontId="21" fillId="7" borderId="24" xfId="0" applyNumberFormat="1" applyFont="1" applyFill="1" applyBorder="1" applyAlignment="1">
      <alignment horizontal="center"/>
    </xf>
    <xf numFmtId="164" fontId="21" fillId="7" borderId="84" xfId="0" applyNumberFormat="1" applyFont="1" applyFill="1" applyBorder="1" applyAlignment="1">
      <alignment horizontal="center"/>
    </xf>
    <xf numFmtId="164" fontId="20" fillId="4" borderId="90" xfId="0" applyNumberFormat="1" applyFont="1" applyFill="1" applyBorder="1" applyAlignment="1">
      <alignment horizontal="center"/>
    </xf>
    <xf numFmtId="164" fontId="20" fillId="4" borderId="91" xfId="0" applyNumberFormat="1" applyFont="1" applyFill="1" applyBorder="1" applyAlignment="1">
      <alignment horizontal="center"/>
    </xf>
    <xf numFmtId="164" fontId="20" fillId="4" borderId="89" xfId="0" applyNumberFormat="1" applyFont="1" applyFill="1" applyBorder="1" applyAlignment="1">
      <alignment horizontal="center"/>
    </xf>
    <xf numFmtId="0" fontId="23" fillId="18" borderId="27" xfId="0" applyFont="1" applyFill="1" applyBorder="1" applyAlignment="1">
      <alignment horizontal="center"/>
    </xf>
    <xf numFmtId="0" fontId="23" fillId="18" borderId="42" xfId="0" applyFont="1" applyFill="1" applyBorder="1" applyAlignment="1">
      <alignment horizontal="center"/>
    </xf>
    <xf numFmtId="0" fontId="0" fillId="19" borderId="0" xfId="0" applyFill="1"/>
    <xf numFmtId="0" fontId="4" fillId="10" borderId="1" xfId="0" applyFont="1" applyFill="1" applyBorder="1"/>
    <xf numFmtId="0" fontId="0" fillId="20" borderId="0" xfId="0" applyFill="1"/>
    <xf numFmtId="0" fontId="29" fillId="9" borderId="92" xfId="0" applyFont="1" applyFill="1" applyBorder="1"/>
    <xf numFmtId="0" fontId="0" fillId="19" borderId="73" xfId="0" applyFill="1" applyBorder="1"/>
    <xf numFmtId="0" fontId="0" fillId="21" borderId="0" xfId="0" applyFill="1"/>
    <xf numFmtId="0" fontId="0" fillId="21" borderId="73" xfId="0" applyFill="1" applyBorder="1"/>
    <xf numFmtId="0" fontId="35" fillId="0" borderId="0" xfId="0" applyFont="1"/>
    <xf numFmtId="0" fontId="4" fillId="11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3" fillId="22" borderId="0" xfId="0" applyFont="1" applyFill="1"/>
    <xf numFmtId="0" fontId="0" fillId="22" borderId="0" xfId="0" applyFill="1"/>
    <xf numFmtId="0" fontId="1" fillId="9" borderId="2" xfId="0" applyFont="1" applyFill="1" applyBorder="1"/>
    <xf numFmtId="0" fontId="1" fillId="9" borderId="2" xfId="0" applyFont="1" applyFill="1" applyBorder="1" applyAlignment="1">
      <alignment horizontal="center"/>
    </xf>
    <xf numFmtId="0" fontId="0" fillId="0" borderId="93" xfId="0" applyBorder="1"/>
    <xf numFmtId="0" fontId="10" fillId="0" borderId="93" xfId="0" applyFont="1" applyBorder="1" applyAlignment="1">
      <alignment horizontal="center"/>
    </xf>
    <xf numFmtId="2" fontId="0" fillId="0" borderId="93" xfId="0" applyNumberFormat="1" applyBorder="1" applyAlignment="1">
      <alignment horizontal="center"/>
    </xf>
    <xf numFmtId="164" fontId="0" fillId="0" borderId="93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5" xfId="0" applyFont="1" applyBorder="1" applyAlignment="1">
      <alignment horizontal="center"/>
    </xf>
    <xf numFmtId="9" fontId="10" fillId="0" borderId="5" xfId="0" applyNumberFormat="1" applyFont="1" applyBorder="1" applyAlignment="1">
      <alignment horizontal="center"/>
    </xf>
    <xf numFmtId="0" fontId="0" fillId="0" borderId="94" xfId="0" applyBorder="1"/>
    <xf numFmtId="9" fontId="10" fillId="0" borderId="94" xfId="0" applyNumberFormat="1" applyFont="1" applyBorder="1" applyAlignment="1">
      <alignment horizontal="center"/>
    </xf>
    <xf numFmtId="164" fontId="0" fillId="0" borderId="94" xfId="0" applyNumberFormat="1" applyBorder="1" applyAlignment="1">
      <alignment horizontal="center"/>
    </xf>
    <xf numFmtId="0" fontId="11" fillId="0" borderId="94" xfId="0" applyFont="1" applyBorder="1" applyAlignment="1">
      <alignment horizontal="center"/>
    </xf>
    <xf numFmtId="0" fontId="29" fillId="20" borderId="0" xfId="0" applyFont="1" applyFill="1"/>
    <xf numFmtId="10" fontId="10" fillId="0" borderId="4" xfId="0" applyNumberFormat="1" applyFon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4" fontId="0" fillId="0" borderId="95" xfId="0" applyNumberForma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10" fontId="10" fillId="0" borderId="5" xfId="1" applyNumberFormat="1" applyFont="1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0" fontId="1" fillId="0" borderId="5" xfId="0" applyFont="1" applyBorder="1"/>
    <xf numFmtId="0" fontId="14" fillId="0" borderId="5" xfId="0" applyFont="1" applyBorder="1"/>
    <xf numFmtId="0" fontId="36" fillId="0" borderId="5" xfId="0" applyFont="1" applyBorder="1"/>
    <xf numFmtId="164" fontId="1" fillId="0" borderId="5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2" fontId="27" fillId="0" borderId="5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2" fontId="19" fillId="0" borderId="5" xfId="0" applyNumberFormat="1" applyFont="1" applyBorder="1" applyAlignment="1">
      <alignment horizontal="center"/>
    </xf>
    <xf numFmtId="2" fontId="19" fillId="0" borderId="0" xfId="0" applyNumberFormat="1" applyFont="1" applyAlignment="1">
      <alignment horizontal="center"/>
    </xf>
    <xf numFmtId="164" fontId="18" fillId="0" borderId="5" xfId="0" applyNumberFormat="1" applyFont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0" fontId="1" fillId="9" borderId="2" xfId="0" applyFont="1" applyFill="1" applyBorder="1" applyAlignment="1">
      <alignment horizontal="left"/>
    </xf>
    <xf numFmtId="4" fontId="37" fillId="0" borderId="3" xfId="0" applyNumberFormat="1" applyFont="1" applyBorder="1" applyAlignment="1">
      <alignment horizontal="center"/>
    </xf>
    <xf numFmtId="10" fontId="10" fillId="0" borderId="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3" fontId="10" fillId="0" borderId="4" xfId="0" applyNumberFormat="1" applyFont="1" applyBorder="1" applyAlignment="1">
      <alignment horizontal="center"/>
    </xf>
    <xf numFmtId="0" fontId="14" fillId="0" borderId="0" xfId="0" applyFont="1"/>
    <xf numFmtId="0" fontId="16" fillId="8" borderId="0" xfId="0" applyFont="1" applyFill="1"/>
    <xf numFmtId="0" fontId="16" fillId="8" borderId="0" xfId="0" applyFont="1" applyFill="1" applyAlignment="1">
      <alignment horizontal="left"/>
    </xf>
    <xf numFmtId="0" fontId="4" fillId="8" borderId="72" xfId="0" applyFont="1" applyFill="1" applyBorder="1"/>
    <xf numFmtId="0" fontId="4" fillId="8" borderId="0" xfId="0" applyFont="1" applyFill="1"/>
    <xf numFmtId="0" fontId="4" fillId="8" borderId="73" xfId="0" applyFont="1" applyFill="1" applyBorder="1"/>
    <xf numFmtId="0" fontId="15" fillId="8" borderId="0" xfId="0" applyFont="1" applyFill="1"/>
    <xf numFmtId="0" fontId="38" fillId="0" borderId="3" xfId="0" applyFont="1" applyFill="1" applyBorder="1" applyAlignment="1">
      <alignment horizontal="center"/>
    </xf>
    <xf numFmtId="0" fontId="28" fillId="0" borderId="3" xfId="0" applyFont="1" applyFill="1" applyBorder="1" applyAlignment="1">
      <alignment horizontal="center"/>
    </xf>
    <xf numFmtId="0" fontId="0" fillId="0" borderId="0" xfId="0" applyFont="1" applyFill="1"/>
    <xf numFmtId="9" fontId="0" fillId="5" borderId="97" xfId="0" applyNumberFormat="1" applyFont="1" applyFill="1" applyBorder="1" applyAlignment="1">
      <alignment horizontal="center"/>
    </xf>
    <xf numFmtId="9" fontId="0" fillId="5" borderId="96" xfId="0" applyNumberFormat="1" applyFill="1" applyBorder="1" applyAlignment="1">
      <alignment horizontal="center"/>
    </xf>
    <xf numFmtId="0" fontId="23" fillId="0" borderId="0" xfId="0" applyFont="1" applyFill="1" applyAlignment="1">
      <alignment horizontal="center"/>
    </xf>
    <xf numFmtId="3" fontId="23" fillId="0" borderId="0" xfId="0" applyNumberFormat="1" applyFont="1" applyFill="1" applyAlignment="1">
      <alignment horizontal="center"/>
    </xf>
    <xf numFmtId="0" fontId="0" fillId="0" borderId="0" xfId="0" applyFill="1"/>
    <xf numFmtId="0" fontId="6" fillId="7" borderId="3" xfId="0" applyFont="1" applyFill="1" applyBorder="1"/>
    <xf numFmtId="0" fontId="34" fillId="7" borderId="3" xfId="0" applyFont="1" applyFill="1" applyBorder="1"/>
    <xf numFmtId="0" fontId="21" fillId="0" borderId="99" xfId="0" applyFont="1" applyFill="1" applyBorder="1"/>
    <xf numFmtId="0" fontId="21" fillId="0" borderId="0" xfId="0" applyFont="1" applyFill="1" applyBorder="1"/>
    <xf numFmtId="9" fontId="21" fillId="5" borderId="100" xfId="0" applyNumberFormat="1" applyFont="1" applyFill="1" applyBorder="1" applyAlignment="1">
      <alignment horizontal="center"/>
    </xf>
    <xf numFmtId="2" fontId="21" fillId="0" borderId="98" xfId="0" applyNumberFormat="1" applyFont="1" applyFill="1" applyBorder="1" applyAlignment="1">
      <alignment horizontal="center"/>
    </xf>
    <xf numFmtId="2" fontId="21" fillId="0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8">
    <dxf>
      <font>
        <b/>
        <i val="0"/>
        <color rgb="FFFF0000"/>
      </font>
    </dxf>
    <dxf>
      <font>
        <color rgb="FFB8860B"/>
      </font>
    </dxf>
    <dxf>
      <font>
        <b/>
        <i val="0"/>
        <color rgb="FF008000"/>
      </font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A500"/>
        </patternFill>
      </fill>
    </dxf>
    <dxf>
      <font>
        <color rgb="FF000000"/>
      </font>
      <fill>
        <patternFill patternType="solid">
          <fgColor indexed="64"/>
          <bgColor rgb="FFFFD7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FFFFFF"/>
      </font>
      <fill>
        <patternFill patternType="solid">
          <fgColor indexed="64"/>
          <bgColor rgb="FF008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Revenue, PAT &amp; EBITDA Growth (FY22-FY35E)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 Income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Charts!$A$4:$A$17</c:f>
              <c:strCache>
                <c:ptCount val="1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  <c:pt idx="10">
                  <c:v>FY32E</c:v>
                </c:pt>
                <c:pt idx="11">
                  <c:v>FY33E</c:v>
                </c:pt>
                <c:pt idx="12">
                  <c:v>FY34E</c:v>
                </c:pt>
                <c:pt idx="13">
                  <c:v>FY35E</c:v>
                </c:pt>
              </c:strCache>
            </c:strRef>
          </c:cat>
          <c:val>
            <c:numRef>
              <c:f>Charts!$B$4:$B$17</c:f>
              <c:numCache>
                <c:formatCode>0.00</c:formatCode>
                <c:ptCount val="14"/>
                <c:pt idx="0">
                  <c:v>8.5100000000000016</c:v>
                </c:pt>
                <c:pt idx="1">
                  <c:v>11.549999999999999</c:v>
                </c:pt>
                <c:pt idx="2">
                  <c:v>13.36</c:v>
                </c:pt>
                <c:pt idx="3">
                  <c:v>21.63</c:v>
                </c:pt>
                <c:pt idx="4">
                  <c:v>34.24</c:v>
                </c:pt>
                <c:pt idx="5">
                  <c:v>56.514599999999994</c:v>
                </c:pt>
                <c:pt idx="6">
                  <c:v>75.053750000000008</c:v>
                </c:pt>
                <c:pt idx="7">
                  <c:v>94.301249999999996</c:v>
                </c:pt>
                <c:pt idx="8">
                  <c:v>113.27307499999999</c:v>
                </c:pt>
                <c:pt idx="9">
                  <c:v>132.34058812500001</c:v>
                </c:pt>
                <c:pt idx="10">
                  <c:v>158.24186628125003</c:v>
                </c:pt>
                <c:pt idx="11">
                  <c:v>189.84326334531249</c:v>
                </c:pt>
                <c:pt idx="12">
                  <c:v>219.2833108875781</c:v>
                </c:pt>
                <c:pt idx="13">
                  <c:v>250.60565643195704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4-40CA-AC18-0D716EEF8C6E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PAT (₹ Cr)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Charts!$A$4:$A$17</c:f>
              <c:strCache>
                <c:ptCount val="1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  <c:pt idx="10">
                  <c:v>FY32E</c:v>
                </c:pt>
                <c:pt idx="11">
                  <c:v>FY33E</c:v>
                </c:pt>
                <c:pt idx="12">
                  <c:v>FY34E</c:v>
                </c:pt>
                <c:pt idx="13">
                  <c:v>FY35E</c:v>
                </c:pt>
              </c:strCache>
            </c:strRef>
          </c:cat>
          <c:val>
            <c:numRef>
              <c:f>Charts!$C$4:$C$17</c:f>
              <c:numCache>
                <c:formatCode>0.00</c:formatCode>
                <c:ptCount val="14"/>
                <c:pt idx="0">
                  <c:v>2.4800000000000018</c:v>
                </c:pt>
                <c:pt idx="1">
                  <c:v>3.4599999999999986</c:v>
                </c:pt>
                <c:pt idx="2">
                  <c:v>4.18</c:v>
                </c:pt>
                <c:pt idx="3">
                  <c:v>8.68</c:v>
                </c:pt>
                <c:pt idx="4">
                  <c:v>17.560000000000002</c:v>
                </c:pt>
                <c:pt idx="5">
                  <c:v>32.164599999999993</c:v>
                </c:pt>
                <c:pt idx="6">
                  <c:v>42.193750000000016</c:v>
                </c:pt>
                <c:pt idx="7">
                  <c:v>52.241250000000001</c:v>
                </c:pt>
                <c:pt idx="8">
                  <c:v>61.643074999999996</c:v>
                </c:pt>
                <c:pt idx="9">
                  <c:v>70.990588125000016</c:v>
                </c:pt>
                <c:pt idx="10">
                  <c:v>84.071866281250038</c:v>
                </c:pt>
                <c:pt idx="11">
                  <c:v>100.22326334531249</c:v>
                </c:pt>
                <c:pt idx="12">
                  <c:v>114.41331088757812</c:v>
                </c:pt>
                <c:pt idx="13">
                  <c:v>129.31565643195705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4-40CA-AC18-0D716EEF8C6E}"/>
            </c:ext>
          </c:extLst>
        </c:ser>
        <c:ser>
          <c:idx val="2"/>
          <c:order val="2"/>
          <c:tx>
            <c:strRef>
              <c:f>Charts!$D$3</c:f>
              <c:strCache>
                <c:ptCount val="1"/>
                <c:pt idx="0">
                  <c:v>EBITDA (₹ Cr)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Charts!$A$4:$A$17</c:f>
              <c:strCache>
                <c:ptCount val="1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  <c:pt idx="10">
                  <c:v>FY32E</c:v>
                </c:pt>
                <c:pt idx="11">
                  <c:v>FY33E</c:v>
                </c:pt>
                <c:pt idx="12">
                  <c:v>FY34E</c:v>
                </c:pt>
                <c:pt idx="13">
                  <c:v>FY35E</c:v>
                </c:pt>
              </c:strCache>
            </c:strRef>
          </c:cat>
          <c:val>
            <c:numRef>
              <c:f>Charts!$D$4:$D$17</c:f>
              <c:numCache>
                <c:formatCode>0.00</c:formatCode>
                <c:ptCount val="14"/>
                <c:pt idx="0">
                  <c:v>3.9300000000000015</c:v>
                </c:pt>
                <c:pt idx="1">
                  <c:v>5.5999999999999988</c:v>
                </c:pt>
                <c:pt idx="2">
                  <c:v>7.06</c:v>
                </c:pt>
                <c:pt idx="3">
                  <c:v>15.059999999999999</c:v>
                </c:pt>
                <c:pt idx="4">
                  <c:v>26.380000000000003</c:v>
                </c:pt>
                <c:pt idx="5">
                  <c:v>45.784599999999998</c:v>
                </c:pt>
                <c:pt idx="6">
                  <c:v>60.813750000000013</c:v>
                </c:pt>
                <c:pt idx="7">
                  <c:v>76.391249999999999</c:v>
                </c:pt>
                <c:pt idx="8">
                  <c:v>91.773074999999992</c:v>
                </c:pt>
                <c:pt idx="9">
                  <c:v>107.22058812500001</c:v>
                </c:pt>
                <c:pt idx="10">
                  <c:v>128.20186628125003</c:v>
                </c:pt>
                <c:pt idx="11">
                  <c:v>153.81326334531249</c:v>
                </c:pt>
                <c:pt idx="12">
                  <c:v>177.6533108875781</c:v>
                </c:pt>
                <c:pt idx="13">
                  <c:v>203.03565643195705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94-40CA-AC18-0D716EEF8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337151"/>
        <c:axId val="1872336671"/>
      </c:barChart>
      <c:catAx>
        <c:axId val="18723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336671"/>
        <c:crosses val="autoZero"/>
        <c:auto val="1"/>
        <c:lblAlgn val="ctr"/>
        <c:lblOffset val="100"/>
        <c:noMultiLvlLbl val="0"/>
      </c:catAx>
      <c:valAx>
        <c:axId val="187233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33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Evolution (FY22-FY35E)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EBITDA Margin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Charts!$A$21:$A$34</c:f>
              <c:strCache>
                <c:ptCount val="1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  <c:pt idx="10">
                  <c:v>FY32E</c:v>
                </c:pt>
                <c:pt idx="11">
                  <c:v>FY33E</c:v>
                </c:pt>
                <c:pt idx="12">
                  <c:v>FY34E</c:v>
                </c:pt>
                <c:pt idx="13">
                  <c:v>FY35E</c:v>
                </c:pt>
              </c:strCache>
            </c:strRef>
          </c:cat>
          <c:val>
            <c:numRef>
              <c:f>Charts!$B$21:$B$34</c:f>
              <c:numCache>
                <c:formatCode>0.0%</c:formatCode>
                <c:ptCount val="14"/>
                <c:pt idx="0">
                  <c:v>0.4618096357226793</c:v>
                </c:pt>
                <c:pt idx="1">
                  <c:v>0.48484848484848481</c:v>
                </c:pt>
                <c:pt idx="2">
                  <c:v>0.52844311377245512</c:v>
                </c:pt>
                <c:pt idx="3">
                  <c:v>0.69625520110957007</c:v>
                </c:pt>
                <c:pt idx="4">
                  <c:v>0.77044392523364491</c:v>
                </c:pt>
                <c:pt idx="5">
                  <c:v>0.81013755737455462</c:v>
                </c:pt>
                <c:pt idx="6">
                  <c:v>0.81026930699665245</c:v>
                </c:pt>
                <c:pt idx="7">
                  <c:v>0.81007674871754087</c:v>
                </c:pt>
                <c:pt idx="8">
                  <c:v>0.81019319904575737</c:v>
                </c:pt>
                <c:pt idx="9">
                  <c:v>0.81018672838091554</c:v>
                </c:pt>
                <c:pt idx="10">
                  <c:v>0.81016401849932296</c:v>
                </c:pt>
                <c:pt idx="11">
                  <c:v>0.8102118591668761</c:v>
                </c:pt>
                <c:pt idx="12">
                  <c:v>0.81015427105921978</c:v>
                </c:pt>
                <c:pt idx="13">
                  <c:v>0.81017986314719947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C-4276-A1D3-2D22263D6963}"/>
            </c:ext>
          </c:extLst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PAT Margin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Charts!$A$21:$A$34</c:f>
              <c:strCache>
                <c:ptCount val="1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  <c:pt idx="10">
                  <c:v>FY32E</c:v>
                </c:pt>
                <c:pt idx="11">
                  <c:v>FY33E</c:v>
                </c:pt>
                <c:pt idx="12">
                  <c:v>FY34E</c:v>
                </c:pt>
                <c:pt idx="13">
                  <c:v>FY35E</c:v>
                </c:pt>
              </c:strCache>
            </c:strRef>
          </c:cat>
          <c:val>
            <c:numRef>
              <c:f>Charts!$C$21:$C$34</c:f>
              <c:numCache>
                <c:formatCode>0.0%</c:formatCode>
                <c:ptCount val="14"/>
                <c:pt idx="0">
                  <c:v>0.29142185663924808</c:v>
                </c:pt>
                <c:pt idx="1">
                  <c:v>0.29956709956709948</c:v>
                </c:pt>
                <c:pt idx="2">
                  <c:v>0.31287425149700598</c:v>
                </c:pt>
                <c:pt idx="3">
                  <c:v>0.40129449838187703</c:v>
                </c:pt>
                <c:pt idx="4">
                  <c:v>0.51285046728971961</c:v>
                </c:pt>
                <c:pt idx="5">
                  <c:v>0.56913788649304775</c:v>
                </c:pt>
                <c:pt idx="6">
                  <c:v>0.56218043735323031</c:v>
                </c:pt>
                <c:pt idx="7">
                  <c:v>0.55398258241539744</c:v>
                </c:pt>
                <c:pt idx="8">
                  <c:v>0.54419883101081168</c:v>
                </c:pt>
                <c:pt idx="9">
                  <c:v>0.53642339913093851</c:v>
                </c:pt>
                <c:pt idx="10">
                  <c:v>0.53128712556906732</c:v>
                </c:pt>
                <c:pt idx="11">
                  <c:v>0.52792636187997322</c:v>
                </c:pt>
                <c:pt idx="12">
                  <c:v>0.52176023074658606</c:v>
                </c:pt>
                <c:pt idx="13">
                  <c:v>0.51601252051973567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5C-4276-A1D3-2D22263D6963}"/>
            </c:ext>
          </c:extLst>
        </c:ser>
        <c:ser>
          <c:idx val="2"/>
          <c:order val="2"/>
          <c:tx>
            <c:strRef>
              <c:f>Charts!$D$20</c:f>
              <c:strCache>
                <c:ptCount val="1"/>
                <c:pt idx="0">
                  <c:v>ROE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Charts!$A$21:$A$34</c:f>
              <c:strCache>
                <c:ptCount val="1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  <c:pt idx="10">
                  <c:v>FY32E</c:v>
                </c:pt>
                <c:pt idx="11">
                  <c:v>FY33E</c:v>
                </c:pt>
                <c:pt idx="12">
                  <c:v>FY34E</c:v>
                </c:pt>
                <c:pt idx="13">
                  <c:v>FY35E</c:v>
                </c:pt>
              </c:strCache>
            </c:strRef>
          </c:cat>
          <c:val>
            <c:numRef>
              <c:f>Charts!$D$21:$D$34</c:f>
              <c:numCache>
                <c:formatCode>0.0%</c:formatCode>
                <c:ptCount val="14"/>
                <c:pt idx="0">
                  <c:v>6.5504490227152712E-2</c:v>
                </c:pt>
                <c:pt idx="1">
                  <c:v>7.9668431959474983E-2</c:v>
                </c:pt>
                <c:pt idx="2">
                  <c:v>8.9163822525597278E-2</c:v>
                </c:pt>
                <c:pt idx="3">
                  <c:v>0.10268543712291493</c:v>
                </c:pt>
                <c:pt idx="4">
                  <c:v>0.17270545654825131</c:v>
                </c:pt>
                <c:pt idx="5">
                  <c:v>0.24125301616899089</c:v>
                </c:pt>
                <c:pt idx="6">
                  <c:v>0.24134593742322769</c:v>
                </c:pt>
                <c:pt idx="7">
                  <c:v>0.23094587401903402</c:v>
                </c:pt>
                <c:pt idx="8">
                  <c:v>0.21505310603056244</c:v>
                </c:pt>
                <c:pt idx="9">
                  <c:v>0.19936737540393948</c:v>
                </c:pt>
                <c:pt idx="10">
                  <c:v>0.19183381640250499</c:v>
                </c:pt>
                <c:pt idx="11">
                  <c:v>0.18690196805736395</c:v>
                </c:pt>
                <c:pt idx="12">
                  <c:v>0.17678262800414971</c:v>
                </c:pt>
                <c:pt idx="13">
                  <c:v>0.16765101170391353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5C-4276-A1D3-2D22263D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776879"/>
        <c:axId val="1871778319"/>
      </c:lineChart>
      <c:catAx>
        <c:axId val="187177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778319"/>
        <c:crosses val="autoZero"/>
        <c:auto val="1"/>
        <c:lblAlgn val="ctr"/>
        <c:lblOffset val="100"/>
        <c:noMultiLvlLbl val="0"/>
      </c:catAx>
      <c:valAx>
        <c:axId val="18717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77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EPS &amp; BVPS Trajectory (FY22-FY35E)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Charts!$B$37</c:f>
              <c:strCache>
                <c:ptCount val="1"/>
                <c:pt idx="0">
                  <c:v>EPS (₹)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Charts!$A$38:$A$51</c:f>
              <c:strCache>
                <c:ptCount val="1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  <c:pt idx="10">
                  <c:v>FY32E</c:v>
                </c:pt>
                <c:pt idx="11">
                  <c:v>FY33E</c:v>
                </c:pt>
                <c:pt idx="12">
                  <c:v>FY34E</c:v>
                </c:pt>
                <c:pt idx="13">
                  <c:v>FY35E</c:v>
                </c:pt>
              </c:strCache>
            </c:strRef>
          </c:cat>
          <c:val>
            <c:numRef>
              <c:f>Charts!$B$38:$B$51</c:f>
              <c:numCache>
                <c:formatCode>0.00</c:formatCode>
                <c:ptCount val="14"/>
                <c:pt idx="0">
                  <c:v>0.86111111111111172</c:v>
                </c:pt>
                <c:pt idx="1">
                  <c:v>1.2013888888888884</c:v>
                </c:pt>
                <c:pt idx="2">
                  <c:v>1.2366863905325443</c:v>
                </c:pt>
                <c:pt idx="3">
                  <c:v>2.5159420289855072</c:v>
                </c:pt>
                <c:pt idx="4">
                  <c:v>5.0898550724637683</c:v>
                </c:pt>
                <c:pt idx="5">
                  <c:v>9.3230724637681135</c:v>
                </c:pt>
                <c:pt idx="6">
                  <c:v>12.230072463768121</c:v>
                </c:pt>
                <c:pt idx="7">
                  <c:v>15.142391304347825</c:v>
                </c:pt>
                <c:pt idx="8">
                  <c:v>17.867557971014492</c:v>
                </c:pt>
                <c:pt idx="9">
                  <c:v>20.576982065217393</c:v>
                </c:pt>
                <c:pt idx="10">
                  <c:v>24.368656893115951</c:v>
                </c:pt>
                <c:pt idx="11">
                  <c:v>29.050221259510867</c:v>
                </c:pt>
                <c:pt idx="12">
                  <c:v>33.163278518138583</c:v>
                </c:pt>
                <c:pt idx="13">
                  <c:v>37.482798965784653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3-45BF-8012-32115694E437}"/>
            </c:ext>
          </c:extLst>
        </c:ser>
        <c:ser>
          <c:idx val="1"/>
          <c:order val="1"/>
          <c:tx>
            <c:strRef>
              <c:f>Charts!$C$37</c:f>
              <c:strCache>
                <c:ptCount val="1"/>
                <c:pt idx="0">
                  <c:v>BVPS (₹)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Charts!$A$38:$A$51</c:f>
              <c:strCache>
                <c:ptCount val="1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  <c:pt idx="10">
                  <c:v>FY32E</c:v>
                </c:pt>
                <c:pt idx="11">
                  <c:v>FY33E</c:v>
                </c:pt>
                <c:pt idx="12">
                  <c:v>FY34E</c:v>
                </c:pt>
                <c:pt idx="13">
                  <c:v>FY35E</c:v>
                </c:pt>
              </c:strCache>
            </c:strRef>
          </c:cat>
          <c:val>
            <c:numRef>
              <c:f>Charts!$C$38:$C$51</c:f>
              <c:numCache>
                <c:formatCode>0.00</c:formatCode>
                <c:ptCount val="14"/>
                <c:pt idx="0">
                  <c:v>13.145833333333334</c:v>
                </c:pt>
                <c:pt idx="1">
                  <c:v>15.079861111111111</c:v>
                </c:pt>
                <c:pt idx="2">
                  <c:v>13.8698224852071</c:v>
                </c:pt>
                <c:pt idx="3">
                  <c:v>24.501449275362319</c:v>
                </c:pt>
                <c:pt idx="4">
                  <c:v>29.471304347826091</c:v>
                </c:pt>
                <c:pt idx="5">
                  <c:v>38.644376811594206</c:v>
                </c:pt>
                <c:pt idx="6">
                  <c:v>50.674449275362321</c:v>
                </c:pt>
                <c:pt idx="7">
                  <c:v>65.566840579710146</c:v>
                </c:pt>
                <c:pt idx="8">
                  <c:v>83.084398550724629</c:v>
                </c:pt>
                <c:pt idx="9">
                  <c:v>103.21138061594203</c:v>
                </c:pt>
                <c:pt idx="10">
                  <c:v>127.03003750905799</c:v>
                </c:pt>
                <c:pt idx="11">
                  <c:v>155.43025876856882</c:v>
                </c:pt>
                <c:pt idx="12">
                  <c:v>187.59353728670743</c:v>
                </c:pt>
                <c:pt idx="13">
                  <c:v>223.57633625249207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F3-45BF-8012-32115694E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929535"/>
        <c:axId val="749923295"/>
      </c:lineChart>
      <c:catAx>
        <c:axId val="74992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23295"/>
        <c:crosses val="autoZero"/>
        <c:auto val="1"/>
        <c:lblAlgn val="ctr"/>
        <c:lblOffset val="100"/>
        <c:noMultiLvlLbl val="0"/>
      </c:catAx>
      <c:valAx>
        <c:axId val="74992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2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AUM / Loan Book Growth (FY22-FY35E)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Charts!$B$54</c:f>
              <c:strCache>
                <c:ptCount val="1"/>
                <c:pt idx="0">
                  <c:v>AUM / Loan Book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Charts!$A$55:$A$68</c:f>
              <c:strCache>
                <c:ptCount val="1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  <c:pt idx="10">
                  <c:v>FY32E</c:v>
                </c:pt>
                <c:pt idx="11">
                  <c:v>FY33E</c:v>
                </c:pt>
                <c:pt idx="12">
                  <c:v>FY34E</c:v>
                </c:pt>
                <c:pt idx="13">
                  <c:v>FY35E</c:v>
                </c:pt>
              </c:strCache>
            </c:strRef>
          </c:cat>
          <c:val>
            <c:numRef>
              <c:f>Charts!$B$55:$B$68</c:f>
              <c:numCache>
                <c:formatCode>#,##0.00</c:formatCode>
                <c:ptCount val="14"/>
                <c:pt idx="0">
                  <c:v>42.01</c:v>
                </c:pt>
                <c:pt idx="1">
                  <c:v>44.28</c:v>
                </c:pt>
                <c:pt idx="2">
                  <c:v>55.04</c:v>
                </c:pt>
                <c:pt idx="3">
                  <c:v>80.69</c:v>
                </c:pt>
                <c:pt idx="4">
                  <c:v>95</c:v>
                </c:pt>
                <c:pt idx="5">
                  <c:v>135</c:v>
                </c:pt>
                <c:pt idx="6">
                  <c:v>185</c:v>
                </c:pt>
                <c:pt idx="7">
                  <c:v>245</c:v>
                </c:pt>
                <c:pt idx="8">
                  <c:v>310</c:v>
                </c:pt>
                <c:pt idx="9">
                  <c:v>370</c:v>
                </c:pt>
                <c:pt idx="10">
                  <c:v>430</c:v>
                </c:pt>
                <c:pt idx="11">
                  <c:v>530</c:v>
                </c:pt>
                <c:pt idx="12">
                  <c:v>640</c:v>
                </c:pt>
                <c:pt idx="1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8-468E-AEE8-F2F40D1E8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930495"/>
        <c:axId val="749918975"/>
      </c:barChart>
      <c:catAx>
        <c:axId val="74993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18975"/>
        <c:crosses val="autoZero"/>
        <c:auto val="1"/>
        <c:lblAlgn val="ctr"/>
        <c:lblOffset val="100"/>
        <c:noMultiLvlLbl val="0"/>
      </c:catAx>
      <c:valAx>
        <c:axId val="74991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3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 Methods — Fair Value per Share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Charts!$B$71</c:f>
              <c:strCache>
                <c:ptCount val="1"/>
                <c:pt idx="0">
                  <c:v>Fair Value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Charts!$A$72:$A$76</c:f>
              <c:strCache>
                <c:ptCount val="5"/>
                <c:pt idx="0">
                  <c:v>Residual Income</c:v>
                </c:pt>
                <c:pt idx="1">
                  <c:v>DCF - FCFE</c:v>
                </c:pt>
                <c:pt idx="2">
                  <c:v>P/E Multiple</c:v>
                </c:pt>
                <c:pt idx="3">
                  <c:v>P/B Multiple</c:v>
                </c:pt>
                <c:pt idx="4">
                  <c:v>Blended Fair Value</c:v>
                </c:pt>
              </c:strCache>
            </c:strRef>
          </c:cat>
          <c:val>
            <c:numRef>
              <c:f>Charts!$B$72:$B$76</c:f>
              <c:numCache>
                <c:formatCode>0.00</c:formatCode>
                <c:ptCount val="5"/>
                <c:pt idx="0">
                  <c:v>66.353427662216831</c:v>
                </c:pt>
                <c:pt idx="1">
                  <c:v>122.69628162352947</c:v>
                </c:pt>
                <c:pt idx="2">
                  <c:v>186.46144927536227</c:v>
                </c:pt>
                <c:pt idx="3">
                  <c:v>115.93313043478261</c:v>
                </c:pt>
                <c:pt idx="4">
                  <c:v>117.19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6-48D7-8942-43CE1DA2C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9916575"/>
        <c:axId val="749920895"/>
      </c:barChart>
      <c:catAx>
        <c:axId val="74991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20895"/>
        <c:crosses val="autoZero"/>
        <c:auto val="1"/>
        <c:lblAlgn val="ctr"/>
        <c:lblOffset val="100"/>
        <c:noMultiLvlLbl val="0"/>
      </c:catAx>
      <c:valAx>
        <c:axId val="74992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1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from Operations Trend (FY22-FY35E)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Charts!$B$79</c:f>
              <c:strCache>
                <c:ptCount val="1"/>
                <c:pt idx="0">
                  <c:v>CFO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Charts!$A$80:$A$93</c:f>
              <c:strCache>
                <c:ptCount val="1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  <c:pt idx="10">
                  <c:v>FY32E</c:v>
                </c:pt>
                <c:pt idx="11">
                  <c:v>FY33E</c:v>
                </c:pt>
                <c:pt idx="12">
                  <c:v>FY34E</c:v>
                </c:pt>
                <c:pt idx="13">
                  <c:v>FY35E</c:v>
                </c:pt>
              </c:strCache>
            </c:strRef>
          </c:cat>
          <c:val>
            <c:numRef>
              <c:f>Charts!$B$80:$B$93</c:f>
              <c:numCache>
                <c:formatCode>0.00</c:formatCode>
                <c:ptCount val="14"/>
                <c:pt idx="0">
                  <c:v>-1.6999999999999957</c:v>
                </c:pt>
                <c:pt idx="1">
                  <c:v>4.2199999999999989</c:v>
                </c:pt>
                <c:pt idx="2">
                  <c:v>-13.747199999999999</c:v>
                </c:pt>
                <c:pt idx="3">
                  <c:v>9.6305000000000014</c:v>
                </c:pt>
                <c:pt idx="4">
                  <c:v>5.0200000000000005</c:v>
                </c:pt>
                <c:pt idx="5">
                  <c:v>-3.5354000000000063</c:v>
                </c:pt>
                <c:pt idx="6">
                  <c:v>-3.6462499999999878</c:v>
                </c:pt>
                <c:pt idx="7">
                  <c:v>-4.588750000000001</c:v>
                </c:pt>
                <c:pt idx="8">
                  <c:v>1.1430749999999961</c:v>
                </c:pt>
                <c:pt idx="9">
                  <c:v>15.620588125000008</c:v>
                </c:pt>
                <c:pt idx="10">
                  <c:v>27.191866281250039</c:v>
                </c:pt>
                <c:pt idx="11">
                  <c:v>7.5732633453125011</c:v>
                </c:pt>
                <c:pt idx="12">
                  <c:v>12.243310887578126</c:v>
                </c:pt>
                <c:pt idx="13">
                  <c:v>27.885656431957052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2-46FA-B848-F44C29C2C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918495"/>
        <c:axId val="749922335"/>
      </c:barChart>
      <c:catAx>
        <c:axId val="74991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22335"/>
        <c:crosses val="autoZero"/>
        <c:auto val="1"/>
        <c:lblAlgn val="ctr"/>
        <c:lblOffset val="100"/>
        <c:noMultiLvlLbl val="0"/>
      </c:catAx>
      <c:valAx>
        <c:axId val="74992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1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1DA99-D2A4-9AE5-BF9F-8E1D98806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12</xdr:col>
      <xdr:colOff>304800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13A3DB-6200-13DC-2AE2-27202A156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12</xdr:col>
      <xdr:colOff>304800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A6BF4A-AFCD-76D0-188E-7E52DDFAD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53</xdr:row>
      <xdr:rowOff>0</xdr:rowOff>
    </xdr:from>
    <xdr:to>
      <xdr:col>12</xdr:col>
      <xdr:colOff>304800</xdr:colOff>
      <xdr:row>68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D00F3B-AB6C-C919-4339-57C1D9860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70</xdr:row>
      <xdr:rowOff>0</xdr:rowOff>
    </xdr:from>
    <xdr:to>
      <xdr:col>12</xdr:col>
      <xdr:colOff>304800</xdr:colOff>
      <xdr:row>85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FA3D49-AD7B-286E-2E08-0E0149EB5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87</xdr:row>
      <xdr:rowOff>0</xdr:rowOff>
    </xdr:from>
    <xdr:to>
      <xdr:col>12</xdr:col>
      <xdr:colOff>304800</xdr:colOff>
      <xdr:row>102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30B807-3755-94BB-F25E-9C385EF41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D73651-EFB2-413D-9F8E-E9881627040A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BBFB-2467-4704-97CB-86160439D3C9}">
  <sheetPr>
    <tabColor rgb="FF2E5090"/>
  </sheetPr>
  <dimension ref="A1:V85"/>
  <sheetViews>
    <sheetView tabSelected="1" workbookViewId="0">
      <selection sqref="A1:O1"/>
    </sheetView>
  </sheetViews>
  <sheetFormatPr defaultRowHeight="14.4" x14ac:dyDescent="0.3"/>
  <cols>
    <col min="1" max="1" width="51.88671875" customWidth="1"/>
    <col min="2" max="2" width="20.33203125" customWidth="1"/>
    <col min="3" max="3" width="17.5546875" customWidth="1"/>
    <col min="4" max="4" width="20.5546875" customWidth="1"/>
    <col min="5" max="5" width="17.5546875" customWidth="1"/>
    <col min="6" max="6" width="17.44140625" customWidth="1"/>
    <col min="7" max="10" width="17.5546875" customWidth="1"/>
    <col min="11" max="15" width="16.6640625" customWidth="1"/>
    <col min="23" max="16384" width="8.88671875" outlineLevel="2"/>
  </cols>
  <sheetData>
    <row r="1" spans="1:15" ht="30" customHeight="1" x14ac:dyDescent="0.35">
      <c r="A1" s="543" t="s">
        <v>0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</row>
    <row r="2" spans="1:15" ht="18" customHeight="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488"/>
      <c r="L2" s="488"/>
      <c r="M2" s="488"/>
      <c r="N2" s="488"/>
      <c r="O2" s="488"/>
    </row>
    <row r="3" spans="1:15" ht="6" customHeight="1" x14ac:dyDescent="0.3"/>
    <row r="4" spans="1:15" ht="22.05" customHeight="1" x14ac:dyDescent="0.3">
      <c r="A4" s="9" t="s">
        <v>2</v>
      </c>
      <c r="B4" s="9"/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65</v>
      </c>
      <c r="K4" s="10" t="s">
        <v>236</v>
      </c>
      <c r="L4" s="10" t="s">
        <v>237</v>
      </c>
      <c r="M4" s="10" t="s">
        <v>238</v>
      </c>
      <c r="N4" s="10" t="s">
        <v>239</v>
      </c>
      <c r="O4" s="10" t="s">
        <v>240</v>
      </c>
    </row>
    <row r="5" spans="1:15" x14ac:dyDescent="0.3">
      <c r="A5" s="13" t="s">
        <v>10</v>
      </c>
      <c r="B5" s="14" t="s">
        <v>11</v>
      </c>
      <c r="C5" s="29">
        <v>11.55</v>
      </c>
      <c r="D5" s="29">
        <v>13.36</v>
      </c>
      <c r="E5" s="29">
        <v>21.63</v>
      </c>
      <c r="F5" s="30">
        <f>'Income Statement'!G6</f>
        <v>34.24</v>
      </c>
      <c r="G5" s="30">
        <f>'Income Statement'!H6</f>
        <v>56.514599999999994</v>
      </c>
      <c r="H5" s="30">
        <f>'Income Statement'!I6</f>
        <v>75.053750000000008</v>
      </c>
      <c r="I5" s="30">
        <f>'Income Statement'!J6</f>
        <v>94.301249999999996</v>
      </c>
      <c r="J5" s="537">
        <f>'Income Statement'!K6</f>
        <v>113.27307499999999</v>
      </c>
      <c r="K5" s="316">
        <f>'Income Statement'!L6</f>
        <v>132.34058812500001</v>
      </c>
      <c r="L5" s="316">
        <f>'Income Statement'!M6</f>
        <v>158.24186628125003</v>
      </c>
      <c r="M5" s="316">
        <f>'Income Statement'!N6</f>
        <v>189.84326334531249</v>
      </c>
      <c r="N5" s="316">
        <f>'Income Statement'!O6</f>
        <v>219.2833108875781</v>
      </c>
      <c r="O5" s="316">
        <f>'Income Statement'!P6</f>
        <v>250.60565643195704</v>
      </c>
    </row>
    <row r="6" spans="1:15" x14ac:dyDescent="0.3">
      <c r="A6" s="15" t="s">
        <v>12</v>
      </c>
      <c r="B6" s="15"/>
      <c r="C6" s="25"/>
      <c r="D6" s="25">
        <f>(D5-C5)/C5</f>
        <v>0.15670995670995658</v>
      </c>
      <c r="E6" s="25">
        <f>(E5-D5)/E5</f>
        <v>0.38233934350439203</v>
      </c>
      <c r="F6" s="25">
        <f t="shared" ref="F6:O6" si="0">(F5-E5)/E5</f>
        <v>0.58298659269533071</v>
      </c>
      <c r="G6" s="25">
        <f t="shared" si="0"/>
        <v>0.65054322429906519</v>
      </c>
      <c r="H6" s="25">
        <f t="shared" si="0"/>
        <v>0.32804178035410347</v>
      </c>
      <c r="I6" s="25">
        <f t="shared" si="0"/>
        <v>0.25644954449311308</v>
      </c>
      <c r="J6" s="25">
        <f t="shared" si="0"/>
        <v>0.20118317625694246</v>
      </c>
      <c r="K6" s="312">
        <f t="shared" si="0"/>
        <v>0.16833226364694365</v>
      </c>
      <c r="L6" s="312">
        <f t="shared" si="0"/>
        <v>0.19571681313510117</v>
      </c>
      <c r="M6" s="312">
        <f t="shared" si="0"/>
        <v>0.19970313676594256</v>
      </c>
      <c r="N6" s="312">
        <f t="shared" si="0"/>
        <v>0.15507554507591917</v>
      </c>
      <c r="O6" s="312">
        <f t="shared" si="0"/>
        <v>0.14283962339677209</v>
      </c>
    </row>
    <row r="7" spans="1:15" x14ac:dyDescent="0.3">
      <c r="A7" s="15" t="s">
        <v>13</v>
      </c>
      <c r="B7" s="15"/>
      <c r="C7" s="32">
        <v>3.45</v>
      </c>
      <c r="D7" s="32">
        <v>4.1399999999999997</v>
      </c>
      <c r="E7" s="32">
        <v>10.81</v>
      </c>
      <c r="F7" s="33">
        <f>'Income Statement'!G19</f>
        <v>17.560000000000002</v>
      </c>
      <c r="G7" s="33">
        <f>'Income Statement'!H19</f>
        <v>32.164599999999993</v>
      </c>
      <c r="H7" s="33">
        <f>'Income Statement'!I19</f>
        <v>42.193750000000016</v>
      </c>
      <c r="I7" s="33">
        <f>'Income Statement'!J19</f>
        <v>52.241250000000001</v>
      </c>
      <c r="J7" s="32">
        <f>'Income Statement'!K19</f>
        <v>61.643074999999996</v>
      </c>
      <c r="K7" s="33">
        <f>'Income Statement'!L19</f>
        <v>70.990588125000016</v>
      </c>
      <c r="L7" s="33">
        <f>'Income Statement'!M19</f>
        <v>84.071866281250038</v>
      </c>
      <c r="M7" s="33">
        <f>'Income Statement'!N19</f>
        <v>100.22326334531249</v>
      </c>
      <c r="N7" s="33">
        <f>'Income Statement'!O19</f>
        <v>114.41331088757812</v>
      </c>
      <c r="O7" s="33">
        <f>'Income Statement'!P19</f>
        <v>129.31565643195705</v>
      </c>
    </row>
    <row r="8" spans="1:15" x14ac:dyDescent="0.3">
      <c r="A8" s="17" t="s">
        <v>14</v>
      </c>
      <c r="B8" s="17"/>
      <c r="C8" s="26"/>
      <c r="D8" s="26">
        <f t="shared" ref="D8:J8" si="1">(D7-C7)/C7</f>
        <v>0.19999999999999984</v>
      </c>
      <c r="E8" s="26">
        <f t="shared" si="1"/>
        <v>1.6111111111111114</v>
      </c>
      <c r="F8" s="26">
        <f t="shared" si="1"/>
        <v>0.62442183163737297</v>
      </c>
      <c r="G8" s="26">
        <f t="shared" si="1"/>
        <v>0.83169703872437295</v>
      </c>
      <c r="H8" s="26">
        <f t="shared" si="1"/>
        <v>0.31180707983310924</v>
      </c>
      <c r="I8" s="26">
        <f t="shared" si="1"/>
        <v>0.23812768478743845</v>
      </c>
      <c r="J8" s="26">
        <f t="shared" si="1"/>
        <v>0.17996937286148387</v>
      </c>
      <c r="K8" s="313">
        <f>(K7-J7)/J7</f>
        <v>0.15163930619943961</v>
      </c>
      <c r="L8" s="313">
        <f>(L7-K7)/K7</f>
        <v>0.18426778114891154</v>
      </c>
      <c r="M8" s="313">
        <f>(M7-L7)/L7</f>
        <v>0.19211417301039008</v>
      </c>
      <c r="N8" s="313">
        <f>(N7-M7)/M7</f>
        <v>0.14158436942304284</v>
      </c>
      <c r="O8" s="313">
        <f>(O7-N7)/N7</f>
        <v>0.13025010314596955</v>
      </c>
    </row>
    <row r="9" spans="1:15" ht="15" thickBot="1" x14ac:dyDescent="0.35">
      <c r="A9" s="19"/>
      <c r="B9" s="19"/>
      <c r="C9" s="212"/>
      <c r="D9" s="212"/>
      <c r="E9" s="212"/>
      <c r="F9" s="212"/>
      <c r="G9" s="212"/>
      <c r="H9" s="212"/>
      <c r="I9" s="212"/>
      <c r="J9" s="212"/>
      <c r="K9" s="314"/>
      <c r="L9" s="314"/>
      <c r="M9" s="314"/>
      <c r="N9" s="314"/>
      <c r="O9" s="314"/>
    </row>
    <row r="10" spans="1:15" ht="22.05" customHeight="1" x14ac:dyDescent="0.3">
      <c r="A10" s="18" t="s">
        <v>15</v>
      </c>
      <c r="B10" s="18"/>
      <c r="C10" s="213"/>
      <c r="D10" s="213"/>
      <c r="E10" s="213"/>
      <c r="F10" s="213"/>
      <c r="G10" s="213"/>
      <c r="H10" s="213"/>
      <c r="I10" s="213"/>
      <c r="J10" s="213"/>
      <c r="K10" s="309"/>
      <c r="L10" s="309"/>
      <c r="M10" s="309"/>
      <c r="N10" s="309"/>
      <c r="O10" s="309"/>
    </row>
    <row r="11" spans="1:15" x14ac:dyDescent="0.3">
      <c r="A11" s="15" t="s">
        <v>16</v>
      </c>
      <c r="B11" s="15"/>
      <c r="C11" s="34">
        <v>11.51</v>
      </c>
      <c r="D11" s="34">
        <v>13.32</v>
      </c>
      <c r="E11" s="34">
        <v>21.57</v>
      </c>
      <c r="F11" s="33">
        <f>'Income Statement'!G4</f>
        <v>34.200000000000003</v>
      </c>
      <c r="G11" s="33">
        <f>'Income Statement'!H4</f>
        <v>56.464599999999997</v>
      </c>
      <c r="H11" s="33">
        <f>'Income Statement'!I4</f>
        <v>74.993750000000006</v>
      </c>
      <c r="I11" s="33">
        <f>'Income Statement'!J4</f>
        <v>94.221249999999998</v>
      </c>
      <c r="J11" s="32">
        <f>'Income Statement'!K4</f>
        <v>113.173075</v>
      </c>
      <c r="K11" s="30">
        <f>'Income Statement'!L4</f>
        <v>132.22058812500001</v>
      </c>
      <c r="L11" s="30">
        <f>'Income Statement'!M4</f>
        <v>158.09186628125002</v>
      </c>
      <c r="M11" s="30">
        <f>'Income Statement'!N4</f>
        <v>189.66326334531249</v>
      </c>
      <c r="N11" s="30">
        <f>'Income Statement'!O4</f>
        <v>219.08331088757811</v>
      </c>
      <c r="O11" s="30">
        <f>'Income Statement'!P4</f>
        <v>250.35565643195704</v>
      </c>
    </row>
    <row r="12" spans="1:15" x14ac:dyDescent="0.3">
      <c r="A12" s="17" t="s">
        <v>17</v>
      </c>
      <c r="B12" s="20" t="s">
        <v>18</v>
      </c>
      <c r="C12" s="26"/>
      <c r="D12" s="26">
        <f>(D11-C11)/C11</f>
        <v>0.15725456125108606</v>
      </c>
      <c r="E12" s="26">
        <f>(E11-D11)/D11</f>
        <v>0.61936936936936937</v>
      </c>
      <c r="F12" s="27">
        <v>0.45</v>
      </c>
      <c r="G12" s="27">
        <v>0.745</v>
      </c>
      <c r="H12" s="27">
        <v>0.33400000000000002</v>
      </c>
      <c r="I12" s="27">
        <v>0.27500000000000002</v>
      </c>
      <c r="J12" s="27">
        <v>0.19700000000000001</v>
      </c>
      <c r="K12" s="317">
        <v>0.192</v>
      </c>
      <c r="L12" s="317">
        <v>0.17799999999999999</v>
      </c>
      <c r="M12" s="317">
        <v>0.155</v>
      </c>
      <c r="N12" s="317">
        <v>0.13700000000000001</v>
      </c>
      <c r="O12" s="317">
        <v>0.123</v>
      </c>
    </row>
    <row r="13" spans="1:15" ht="15" thickBot="1" x14ac:dyDescent="0.35">
      <c r="A13" s="19"/>
      <c r="B13" s="19"/>
      <c r="C13" s="212"/>
      <c r="D13" s="212"/>
      <c r="E13" s="212"/>
      <c r="F13" s="212"/>
      <c r="G13" s="212"/>
      <c r="H13" s="212"/>
      <c r="I13" s="212"/>
      <c r="J13" s="212"/>
      <c r="K13" s="314"/>
      <c r="L13" s="314"/>
      <c r="M13" s="314"/>
      <c r="N13" s="314"/>
      <c r="O13" s="314"/>
    </row>
    <row r="14" spans="1:15" ht="22.05" customHeight="1" x14ac:dyDescent="0.3">
      <c r="A14" s="21" t="s">
        <v>162</v>
      </c>
      <c r="B14" s="21"/>
      <c r="C14" s="214"/>
      <c r="D14" s="214"/>
      <c r="E14" s="214"/>
      <c r="F14" s="214"/>
      <c r="G14" s="214"/>
      <c r="H14" s="214"/>
      <c r="I14" s="214"/>
      <c r="J14" s="214"/>
      <c r="K14" s="310"/>
      <c r="L14" s="310"/>
      <c r="M14" s="310"/>
      <c r="N14" s="310"/>
      <c r="O14" s="310"/>
    </row>
    <row r="15" spans="1:15" s="550" customFormat="1" x14ac:dyDescent="0.3">
      <c r="A15" s="17" t="s">
        <v>299</v>
      </c>
      <c r="B15" s="551">
        <v>0.05</v>
      </c>
      <c r="C15" s="548"/>
      <c r="D15" s="548"/>
      <c r="E15" s="548"/>
      <c r="F15" s="548"/>
      <c r="G15" s="548"/>
      <c r="H15" s="548"/>
      <c r="I15" s="548"/>
      <c r="J15" s="548"/>
      <c r="K15" s="549"/>
      <c r="L15" s="549"/>
      <c r="M15" s="549"/>
      <c r="N15" s="549"/>
      <c r="O15" s="549"/>
    </row>
    <row r="16" spans="1:15" s="550" customFormat="1" ht="15" thickBot="1" x14ac:dyDescent="0.35">
      <c r="A16" s="19" t="s">
        <v>300</v>
      </c>
      <c r="B16" s="552">
        <v>7.0000000000000007E-2</v>
      </c>
      <c r="C16" s="548"/>
      <c r="D16" s="548"/>
      <c r="E16" s="548"/>
      <c r="F16" s="548"/>
      <c r="G16" s="548"/>
      <c r="H16" s="548"/>
      <c r="I16" s="548"/>
      <c r="J16" s="548"/>
      <c r="K16" s="549"/>
      <c r="L16" s="549"/>
      <c r="M16" s="549"/>
      <c r="N16" s="549"/>
      <c r="O16" s="549"/>
    </row>
    <row r="17" spans="1:15" x14ac:dyDescent="0.3">
      <c r="A17" s="15" t="s">
        <v>19</v>
      </c>
      <c r="B17" s="16" t="s">
        <v>20</v>
      </c>
      <c r="C17" s="539">
        <v>15</v>
      </c>
      <c r="D17" s="539">
        <v>60</v>
      </c>
      <c r="E17" s="539">
        <v>80</v>
      </c>
      <c r="F17" s="540">
        <v>210</v>
      </c>
      <c r="G17" s="540">
        <v>300</v>
      </c>
      <c r="H17" s="540">
        <v>450</v>
      </c>
      <c r="I17" s="540">
        <v>600</v>
      </c>
      <c r="J17" s="540">
        <v>750</v>
      </c>
      <c r="K17" s="318">
        <v>850</v>
      </c>
      <c r="L17" s="318">
        <v>1050</v>
      </c>
      <c r="M17" s="318">
        <v>1350</v>
      </c>
      <c r="N17" s="318">
        <v>1700</v>
      </c>
      <c r="O17" s="318">
        <v>2000</v>
      </c>
    </row>
    <row r="18" spans="1:15" x14ac:dyDescent="0.3">
      <c r="A18" s="15" t="s">
        <v>298</v>
      </c>
      <c r="B18" s="16"/>
      <c r="C18" s="539"/>
      <c r="D18" s="539"/>
      <c r="E18" s="539"/>
      <c r="F18" s="540">
        <f>ROUND((F19*10000000)/25000/F17,0)</f>
        <v>23</v>
      </c>
      <c r="G18" s="540">
        <f>ROUND(F18*(1+$B$15),0)</f>
        <v>24</v>
      </c>
      <c r="H18" s="540">
        <f t="shared" ref="H18:O18" si="2">ROUND(G18*(1+$B$15),0)</f>
        <v>25</v>
      </c>
      <c r="I18" s="540">
        <f t="shared" si="2"/>
        <v>26</v>
      </c>
      <c r="J18" s="540">
        <f t="shared" si="2"/>
        <v>27</v>
      </c>
      <c r="K18" s="540">
        <f t="shared" si="2"/>
        <v>28</v>
      </c>
      <c r="L18" s="540">
        <f t="shared" si="2"/>
        <v>29</v>
      </c>
      <c r="M18" s="540">
        <f t="shared" si="2"/>
        <v>30</v>
      </c>
      <c r="N18" s="540">
        <f t="shared" si="2"/>
        <v>32</v>
      </c>
      <c r="O18" s="540">
        <f t="shared" si="2"/>
        <v>34</v>
      </c>
    </row>
    <row r="19" spans="1:15" x14ac:dyDescent="0.3">
      <c r="A19" s="15" t="s">
        <v>21</v>
      </c>
      <c r="B19" s="16" t="s">
        <v>22</v>
      </c>
      <c r="C19" s="32">
        <v>0.5</v>
      </c>
      <c r="D19" s="32">
        <v>2</v>
      </c>
      <c r="E19" s="32">
        <v>5</v>
      </c>
      <c r="F19" s="35">
        <v>12</v>
      </c>
      <c r="G19" s="35">
        <f>G18*G17*25000*(1+$B$16)*(10^(-7))</f>
        <v>19.259999999999998</v>
      </c>
      <c r="H19" s="35">
        <f t="shared" ref="H19:O19" si="3">H18*H17*25000*(1+$B$16)*(10^(-7))</f>
        <v>30.09375</v>
      </c>
      <c r="I19" s="35">
        <f t="shared" si="3"/>
        <v>41.73</v>
      </c>
      <c r="J19" s="35">
        <f t="shared" si="3"/>
        <v>54.168749999999996</v>
      </c>
      <c r="K19" s="35">
        <f t="shared" si="3"/>
        <v>63.664999999999999</v>
      </c>
      <c r="L19" s="35">
        <f t="shared" si="3"/>
        <v>81.453749999999999</v>
      </c>
      <c r="M19" s="35">
        <f t="shared" si="3"/>
        <v>108.33749999999999</v>
      </c>
      <c r="N19" s="35">
        <f t="shared" si="3"/>
        <v>145.51999999999998</v>
      </c>
      <c r="O19" s="35">
        <f t="shared" si="3"/>
        <v>181.9</v>
      </c>
    </row>
    <row r="20" spans="1:15" x14ac:dyDescent="0.3">
      <c r="A20" s="17" t="s">
        <v>23</v>
      </c>
      <c r="B20" s="22"/>
      <c r="C20" s="26">
        <v>0.22</v>
      </c>
      <c r="D20" s="26">
        <v>0.22</v>
      </c>
      <c r="E20" s="26">
        <v>0.22</v>
      </c>
      <c r="F20" s="27">
        <v>0.21</v>
      </c>
      <c r="G20" s="27">
        <v>0.21</v>
      </c>
      <c r="H20" s="27">
        <v>0.2</v>
      </c>
      <c r="I20" s="27">
        <v>0.2</v>
      </c>
      <c r="J20" s="27">
        <v>0.19</v>
      </c>
      <c r="K20" s="27">
        <v>0.185</v>
      </c>
      <c r="L20" s="27">
        <v>0.18</v>
      </c>
      <c r="M20" s="27">
        <v>0.17499999999999999</v>
      </c>
      <c r="N20" s="27">
        <v>0.17</v>
      </c>
      <c r="O20" s="27">
        <v>0.17</v>
      </c>
    </row>
    <row r="21" spans="1:15" ht="15" thickBot="1" x14ac:dyDescent="0.35">
      <c r="A21" s="23" t="s">
        <v>303</v>
      </c>
      <c r="B21" s="24" t="s">
        <v>165</v>
      </c>
      <c r="C21" s="36"/>
      <c r="D21" s="36"/>
      <c r="E21" s="36"/>
      <c r="F21" s="37">
        <f>(F19*12)*(F20/12)</f>
        <v>2.5199999999999996</v>
      </c>
      <c r="G21" s="37">
        <f t="shared" ref="G21:O21" si="4">(G19*12)*(G20/12)</f>
        <v>4.0445999999999991</v>
      </c>
      <c r="H21" s="37">
        <f t="shared" si="4"/>
        <v>6.0187499999999998</v>
      </c>
      <c r="I21" s="37">
        <f t="shared" si="4"/>
        <v>8.3460000000000001</v>
      </c>
      <c r="J21" s="37">
        <f t="shared" si="4"/>
        <v>10.2920625</v>
      </c>
      <c r="K21" s="37">
        <f t="shared" si="4"/>
        <v>11.778025000000001</v>
      </c>
      <c r="L21" s="37">
        <f t="shared" si="4"/>
        <v>14.661674999999999</v>
      </c>
      <c r="M21" s="37">
        <f t="shared" si="4"/>
        <v>18.959062499999998</v>
      </c>
      <c r="N21" s="37">
        <f t="shared" si="4"/>
        <v>24.738399999999999</v>
      </c>
      <c r="O21" s="37">
        <f t="shared" si="4"/>
        <v>30.923000000000005</v>
      </c>
    </row>
    <row r="22" spans="1:15" ht="22.05" customHeight="1" x14ac:dyDescent="0.3">
      <c r="A22" s="302" t="s">
        <v>163</v>
      </c>
      <c r="B22" s="302"/>
      <c r="C22" s="303"/>
      <c r="D22" s="303"/>
      <c r="E22" s="303"/>
      <c r="F22" s="303"/>
      <c r="G22" s="303"/>
      <c r="H22" s="303"/>
      <c r="I22" s="303"/>
      <c r="J22" s="304"/>
      <c r="K22" s="311"/>
      <c r="L22" s="311"/>
      <c r="M22" s="311"/>
      <c r="N22" s="311"/>
      <c r="O22" s="311"/>
    </row>
    <row r="23" spans="1:15" s="555" customFormat="1" x14ac:dyDescent="0.3">
      <c r="A23" s="559" t="s">
        <v>302</v>
      </c>
      <c r="B23" s="560">
        <v>0.05</v>
      </c>
      <c r="C23" s="553"/>
      <c r="D23" s="553"/>
      <c r="E23" s="553"/>
      <c r="F23" s="553"/>
      <c r="G23" s="553"/>
      <c r="H23" s="553"/>
      <c r="I23" s="553"/>
      <c r="J23" s="554"/>
      <c r="K23" s="549"/>
      <c r="L23" s="549"/>
      <c r="M23" s="549"/>
      <c r="N23" s="549"/>
      <c r="O23" s="549"/>
    </row>
    <row r="24" spans="1:15" s="555" customFormat="1" ht="15" thickBot="1" x14ac:dyDescent="0.35">
      <c r="A24" s="558" t="s">
        <v>304</v>
      </c>
      <c r="B24" s="561">
        <v>2</v>
      </c>
      <c r="C24" s="553"/>
      <c r="D24" s="553"/>
      <c r="E24" s="553"/>
      <c r="F24" s="562">
        <f>B24</f>
        <v>2</v>
      </c>
      <c r="G24" s="562">
        <f>F24*(1+$B$23)</f>
        <v>2.1</v>
      </c>
      <c r="H24" s="562">
        <f t="shared" ref="H24:O24" si="5">G24*(1+$B$23)</f>
        <v>2.2050000000000001</v>
      </c>
      <c r="I24" s="562">
        <f t="shared" si="5"/>
        <v>2.3152500000000003</v>
      </c>
      <c r="J24" s="562">
        <f t="shared" si="5"/>
        <v>2.4310125000000005</v>
      </c>
      <c r="K24" s="562">
        <f t="shared" si="5"/>
        <v>2.5525631250000007</v>
      </c>
      <c r="L24" s="562">
        <f t="shared" si="5"/>
        <v>2.6801912812500008</v>
      </c>
      <c r="M24" s="562">
        <f t="shared" si="5"/>
        <v>2.8142008453125009</v>
      </c>
      <c r="N24" s="562">
        <f t="shared" si="5"/>
        <v>2.954910887578126</v>
      </c>
      <c r="O24" s="562">
        <f t="shared" si="5"/>
        <v>3.1026564319570324</v>
      </c>
    </row>
    <row r="25" spans="1:15" x14ac:dyDescent="0.3">
      <c r="A25" s="556" t="s">
        <v>235</v>
      </c>
      <c r="B25" s="557" t="s">
        <v>24</v>
      </c>
      <c r="C25" s="307">
        <v>0</v>
      </c>
      <c r="D25" s="307">
        <v>0</v>
      </c>
      <c r="E25" s="307">
        <v>15</v>
      </c>
      <c r="F25" s="301">
        <v>70</v>
      </c>
      <c r="G25" s="301">
        <v>110</v>
      </c>
      <c r="H25" s="301">
        <v>150</v>
      </c>
      <c r="I25" s="301">
        <v>200</v>
      </c>
      <c r="J25" s="301">
        <v>250</v>
      </c>
      <c r="K25" s="322">
        <v>290</v>
      </c>
      <c r="L25" s="322">
        <v>325</v>
      </c>
      <c r="M25" s="322">
        <v>355</v>
      </c>
      <c r="N25" s="322">
        <v>380</v>
      </c>
      <c r="O25" s="322">
        <v>400</v>
      </c>
    </row>
    <row r="26" spans="1:15" x14ac:dyDescent="0.3">
      <c r="A26" s="13" t="s">
        <v>164</v>
      </c>
      <c r="B26" s="305" t="s">
        <v>24</v>
      </c>
      <c r="C26" s="31">
        <v>0</v>
      </c>
      <c r="D26" s="31">
        <v>50</v>
      </c>
      <c r="E26" s="31">
        <v>90</v>
      </c>
      <c r="F26" s="306">
        <v>194</v>
      </c>
      <c r="G26" s="306">
        <v>500</v>
      </c>
      <c r="H26" s="306">
        <v>650</v>
      </c>
      <c r="I26" s="306">
        <v>800</v>
      </c>
      <c r="J26" s="306">
        <v>900</v>
      </c>
      <c r="K26" s="318">
        <v>975</v>
      </c>
      <c r="L26" s="318">
        <v>1070</v>
      </c>
      <c r="M26" s="318">
        <v>1270</v>
      </c>
      <c r="N26" s="318">
        <v>1350</v>
      </c>
      <c r="O26" s="318">
        <v>1400</v>
      </c>
    </row>
    <row r="27" spans="1:15" x14ac:dyDescent="0.3">
      <c r="A27" s="17" t="s">
        <v>25</v>
      </c>
      <c r="B27" s="22"/>
      <c r="C27" s="26">
        <v>0</v>
      </c>
      <c r="D27" s="26">
        <v>1.4999999999999999E-2</v>
      </c>
      <c r="E27" s="26">
        <v>1.4999999999999999E-2</v>
      </c>
      <c r="F27" s="538">
        <v>1.2500000000000001E-2</v>
      </c>
      <c r="G27" s="538">
        <v>1.2E-2</v>
      </c>
      <c r="H27" s="538">
        <v>1.2E-2</v>
      </c>
      <c r="I27" s="538">
        <v>1.15E-2</v>
      </c>
      <c r="J27" s="538">
        <v>1.15E-2</v>
      </c>
      <c r="K27" s="538">
        <v>1.0999999999999999E-2</v>
      </c>
      <c r="L27" s="538">
        <v>1.0999999999999999E-2</v>
      </c>
      <c r="M27" s="538">
        <v>1.0500000000000001E-2</v>
      </c>
      <c r="N27" s="538">
        <v>0.01</v>
      </c>
      <c r="O27" s="538">
        <v>0.01</v>
      </c>
    </row>
    <row r="28" spans="1:15" x14ac:dyDescent="0.3">
      <c r="A28" s="522" t="s">
        <v>279</v>
      </c>
      <c r="B28" s="22"/>
      <c r="C28" s="525" t="s">
        <v>3</v>
      </c>
      <c r="D28" s="525" t="s">
        <v>4</v>
      </c>
      <c r="E28" s="525" t="s">
        <v>5</v>
      </c>
      <c r="F28" s="27"/>
      <c r="G28" s="27"/>
      <c r="H28" s="27"/>
      <c r="I28" s="27"/>
      <c r="J28" s="27"/>
      <c r="K28" s="317"/>
      <c r="L28" s="317"/>
      <c r="M28" s="317"/>
      <c r="N28" s="317"/>
      <c r="O28" s="317"/>
    </row>
    <row r="29" spans="1:15" x14ac:dyDescent="0.3">
      <c r="A29" s="522" t="s">
        <v>280</v>
      </c>
      <c r="B29" s="22"/>
      <c r="C29" s="26"/>
      <c r="D29" s="26"/>
      <c r="E29" s="26"/>
      <c r="F29" s="27"/>
      <c r="G29" s="27"/>
      <c r="H29" s="27"/>
      <c r="I29" s="27"/>
      <c r="J29" s="27"/>
      <c r="K29" s="317"/>
      <c r="L29" s="317"/>
      <c r="M29" s="317"/>
      <c r="N29" s="317"/>
      <c r="O29" s="317"/>
    </row>
    <row r="30" spans="1:15" x14ac:dyDescent="0.3">
      <c r="A30" s="17" t="s">
        <v>281</v>
      </c>
      <c r="B30" s="22"/>
      <c r="C30" s="506">
        <v>5.91</v>
      </c>
      <c r="D30" s="506">
        <v>5.92</v>
      </c>
      <c r="E30" s="506">
        <v>8.4</v>
      </c>
      <c r="F30" s="529">
        <f>ROUND(F26*4*F27+4,2)</f>
        <v>13.7</v>
      </c>
      <c r="G30" s="529">
        <f>ROUND(G26*4*G27+4.5,2)</f>
        <v>28.5</v>
      </c>
      <c r="H30" s="529">
        <f>ROUND(H26*4*H27+5,2)</f>
        <v>36.200000000000003</v>
      </c>
      <c r="I30" s="529">
        <f>ROUND(I26*4*I27+5.5,2)</f>
        <v>42.3</v>
      </c>
      <c r="J30" s="529">
        <f>ROUND(J26*4*J27+6,2)</f>
        <v>47.4</v>
      </c>
      <c r="K30" s="530">
        <f>ROUND(K26*4*K27+6.5,2)</f>
        <v>49.4</v>
      </c>
      <c r="L30" s="530">
        <f>ROUND(L26*4*L27+7,2)</f>
        <v>54.08</v>
      </c>
      <c r="M30" s="530">
        <f>ROUND(M26*4*M27+7.5,2)</f>
        <v>60.84</v>
      </c>
      <c r="N30" s="530">
        <f>ROUND(N26*4*N27+8,2)</f>
        <v>62</v>
      </c>
      <c r="O30" s="530">
        <f>ROUND(O26*4*O27+8.5,2)</f>
        <v>64.5</v>
      </c>
    </row>
    <row r="31" spans="1:15" x14ac:dyDescent="0.3">
      <c r="A31" s="17" t="s">
        <v>291</v>
      </c>
      <c r="B31" s="22"/>
      <c r="C31" s="506">
        <v>1</v>
      </c>
      <c r="D31" s="506">
        <v>1.5</v>
      </c>
      <c r="E31" s="506">
        <v>2.82</v>
      </c>
      <c r="F31" s="529">
        <f>F21+F24</f>
        <v>4.5199999999999996</v>
      </c>
      <c r="G31" s="529">
        <f t="shared" ref="G31:O31" si="6">G21+G24</f>
        <v>6.1445999999999987</v>
      </c>
      <c r="H31" s="529">
        <f t="shared" si="6"/>
        <v>8.223749999999999</v>
      </c>
      <c r="I31" s="529">
        <f t="shared" si="6"/>
        <v>10.661250000000001</v>
      </c>
      <c r="J31" s="529">
        <f t="shared" si="6"/>
        <v>12.723075000000001</v>
      </c>
      <c r="K31" s="529">
        <f t="shared" si="6"/>
        <v>14.330588125000002</v>
      </c>
      <c r="L31" s="529">
        <f t="shared" si="6"/>
        <v>17.341866281249999</v>
      </c>
      <c r="M31" s="529">
        <f t="shared" si="6"/>
        <v>21.7732633453125</v>
      </c>
      <c r="N31" s="529">
        <f t="shared" si="6"/>
        <v>27.693310887578125</v>
      </c>
      <c r="O31" s="529">
        <f t="shared" si="6"/>
        <v>34.025656431957039</v>
      </c>
    </row>
    <row r="32" spans="1:15" x14ac:dyDescent="0.3">
      <c r="A32" s="522" t="s">
        <v>282</v>
      </c>
      <c r="B32" s="22"/>
      <c r="C32" s="526">
        <f t="shared" ref="C32:O32" si="7">C30+C31</f>
        <v>6.91</v>
      </c>
      <c r="D32" s="526">
        <f t="shared" si="7"/>
        <v>7.42</v>
      </c>
      <c r="E32" s="526">
        <f t="shared" si="7"/>
        <v>11.22</v>
      </c>
      <c r="F32" s="531">
        <f>F30+F31</f>
        <v>18.22</v>
      </c>
      <c r="G32" s="531">
        <f t="shared" si="7"/>
        <v>34.644599999999997</v>
      </c>
      <c r="H32" s="531">
        <f t="shared" si="7"/>
        <v>44.423749999999998</v>
      </c>
      <c r="I32" s="531">
        <f t="shared" si="7"/>
        <v>52.96125</v>
      </c>
      <c r="J32" s="531">
        <f t="shared" si="7"/>
        <v>60.123075</v>
      </c>
      <c r="K32" s="532">
        <f t="shared" si="7"/>
        <v>63.730588124999997</v>
      </c>
      <c r="L32" s="532">
        <f t="shared" si="7"/>
        <v>71.421866281250004</v>
      </c>
      <c r="M32" s="532">
        <f t="shared" si="7"/>
        <v>82.613263345312504</v>
      </c>
      <c r="N32" s="532">
        <f t="shared" si="7"/>
        <v>89.693310887578122</v>
      </c>
      <c r="O32" s="532">
        <f t="shared" si="7"/>
        <v>98.525656431957032</v>
      </c>
    </row>
    <row r="33" spans="1:15" x14ac:dyDescent="0.3">
      <c r="A33" s="523" t="s">
        <v>283</v>
      </c>
      <c r="B33" s="22"/>
      <c r="C33" s="527">
        <f>C32/C11</f>
        <v>0.60034752389226764</v>
      </c>
      <c r="D33" s="527">
        <f>D32/D11</f>
        <v>0.55705705705705699</v>
      </c>
      <c r="E33" s="527">
        <f>E32/E11</f>
        <v>0.52016689847009734</v>
      </c>
      <c r="F33" s="533">
        <f>F32/F11</f>
        <v>0.53274853801169586</v>
      </c>
      <c r="G33" s="533">
        <f>G32/G11</f>
        <v>0.61356318826308875</v>
      </c>
      <c r="H33" s="533">
        <f>H32/H11</f>
        <v>0.59236603050254177</v>
      </c>
      <c r="I33" s="533">
        <f>I32/I11</f>
        <v>0.56209453812170818</v>
      </c>
      <c r="J33" s="533">
        <f>J32/J11</f>
        <v>0.53124893001272611</v>
      </c>
      <c r="K33" s="534">
        <f>K32/K11</f>
        <v>0.48200200156990486</v>
      </c>
      <c r="L33" s="534">
        <f>L32/L11</f>
        <v>0.45177445216687134</v>
      </c>
      <c r="M33" s="534">
        <f>M32/M11</f>
        <v>0.4355786243902266</v>
      </c>
      <c r="N33" s="534">
        <f>N32/N11</f>
        <v>0.40940275424997552</v>
      </c>
      <c r="O33" s="534">
        <f>O32/O11</f>
        <v>0.39354276167007574</v>
      </c>
    </row>
    <row r="34" spans="1:15" x14ac:dyDescent="0.3">
      <c r="A34" s="17"/>
      <c r="B34" s="22"/>
      <c r="C34" s="26"/>
      <c r="D34" s="26"/>
      <c r="E34" s="26"/>
      <c r="F34" s="27"/>
      <c r="G34" s="27"/>
      <c r="H34" s="27"/>
      <c r="I34" s="27"/>
      <c r="J34" s="27"/>
      <c r="K34" s="317"/>
      <c r="L34" s="317"/>
      <c r="M34" s="317"/>
      <c r="N34" s="317"/>
      <c r="O34" s="317"/>
    </row>
    <row r="35" spans="1:15" x14ac:dyDescent="0.3">
      <c r="A35" s="522" t="s">
        <v>284</v>
      </c>
      <c r="B35" s="22"/>
      <c r="C35" s="26"/>
      <c r="D35" s="26"/>
      <c r="E35" s="26"/>
      <c r="F35" s="27"/>
      <c r="G35" s="27"/>
      <c r="H35" s="27"/>
      <c r="I35" s="27"/>
      <c r="J35" s="27"/>
      <c r="K35" s="317"/>
      <c r="L35" s="317"/>
      <c r="M35" s="317"/>
      <c r="N35" s="317"/>
      <c r="O35" s="317"/>
    </row>
    <row r="36" spans="1:15" x14ac:dyDescent="0.3">
      <c r="A36" s="17" t="s">
        <v>285</v>
      </c>
      <c r="B36" s="22"/>
      <c r="C36" s="506">
        <v>4.5999999999999996</v>
      </c>
      <c r="D36" s="506">
        <v>5.9</v>
      </c>
      <c r="E36" s="506">
        <v>10.35</v>
      </c>
      <c r="F36" s="529">
        <v>11.98</v>
      </c>
      <c r="G36" s="529">
        <v>12.22</v>
      </c>
      <c r="H36" s="529">
        <v>15.07</v>
      </c>
      <c r="I36" s="529">
        <v>18.78</v>
      </c>
      <c r="J36" s="529">
        <v>24.55</v>
      </c>
      <c r="K36" s="530">
        <v>33.99</v>
      </c>
      <c r="L36" s="530">
        <v>47.67</v>
      </c>
      <c r="M36" s="530">
        <v>65</v>
      </c>
      <c r="N36" s="530">
        <v>83.72</v>
      </c>
      <c r="O36" s="530">
        <v>104.93</v>
      </c>
    </row>
    <row r="37" spans="1:15" x14ac:dyDescent="0.3">
      <c r="A37" s="17" t="s">
        <v>290</v>
      </c>
      <c r="B37" s="22"/>
      <c r="C37" s="506">
        <v>0</v>
      </c>
      <c r="D37" s="506">
        <v>0</v>
      </c>
      <c r="E37" s="506">
        <v>0</v>
      </c>
      <c r="F37" s="529">
        <v>0</v>
      </c>
      <c r="G37" s="529">
        <v>0</v>
      </c>
      <c r="H37" s="529">
        <v>0</v>
      </c>
      <c r="I37" s="529">
        <v>0</v>
      </c>
      <c r="J37" s="529">
        <v>0</v>
      </c>
      <c r="K37" s="530">
        <v>0</v>
      </c>
      <c r="L37" s="530">
        <v>0</v>
      </c>
      <c r="M37" s="530">
        <v>0</v>
      </c>
      <c r="N37" s="530">
        <v>0</v>
      </c>
      <c r="O37" s="530">
        <v>0</v>
      </c>
    </row>
    <row r="38" spans="1:15" x14ac:dyDescent="0.3">
      <c r="A38" s="17" t="s">
        <v>301</v>
      </c>
      <c r="B38" s="22"/>
      <c r="C38" s="506">
        <v>0</v>
      </c>
      <c r="D38" s="506">
        <v>0</v>
      </c>
      <c r="E38" s="506">
        <v>0</v>
      </c>
      <c r="F38" s="529">
        <v>4</v>
      </c>
      <c r="G38" s="529">
        <v>9.6</v>
      </c>
      <c r="H38" s="529">
        <v>15.5</v>
      </c>
      <c r="I38" s="529">
        <v>22.48</v>
      </c>
      <c r="J38" s="529">
        <v>28.5</v>
      </c>
      <c r="K38" s="530">
        <v>34.5</v>
      </c>
      <c r="L38" s="530">
        <v>39</v>
      </c>
      <c r="M38" s="530">
        <v>42.05</v>
      </c>
      <c r="N38" s="530">
        <v>45.67</v>
      </c>
      <c r="O38" s="530">
        <v>46.9</v>
      </c>
    </row>
    <row r="39" spans="1:15" x14ac:dyDescent="0.3">
      <c r="A39" s="522" t="s">
        <v>286</v>
      </c>
      <c r="B39" s="22"/>
      <c r="C39" s="526">
        <f t="shared" ref="C39:O39" si="8">C36+C37+C38</f>
        <v>4.5999999999999996</v>
      </c>
      <c r="D39" s="526">
        <f t="shared" si="8"/>
        <v>5.9</v>
      </c>
      <c r="E39" s="526">
        <f t="shared" si="8"/>
        <v>10.35</v>
      </c>
      <c r="F39" s="531">
        <f t="shared" si="8"/>
        <v>15.98</v>
      </c>
      <c r="G39" s="531">
        <f t="shared" si="8"/>
        <v>21.82</v>
      </c>
      <c r="H39" s="531">
        <f t="shared" si="8"/>
        <v>30.57</v>
      </c>
      <c r="I39" s="531">
        <f t="shared" si="8"/>
        <v>41.260000000000005</v>
      </c>
      <c r="J39" s="531">
        <f t="shared" si="8"/>
        <v>53.05</v>
      </c>
      <c r="K39" s="532">
        <f t="shared" si="8"/>
        <v>68.490000000000009</v>
      </c>
      <c r="L39" s="532">
        <f t="shared" si="8"/>
        <v>86.67</v>
      </c>
      <c r="M39" s="532">
        <f t="shared" si="8"/>
        <v>107.05</v>
      </c>
      <c r="N39" s="532">
        <f t="shared" si="8"/>
        <v>129.38999999999999</v>
      </c>
      <c r="O39" s="532">
        <f t="shared" si="8"/>
        <v>151.83000000000001</v>
      </c>
    </row>
    <row r="40" spans="1:15" x14ac:dyDescent="0.3">
      <c r="A40" s="523" t="s">
        <v>287</v>
      </c>
      <c r="B40" s="22"/>
      <c r="C40" s="527">
        <f>C39/C11</f>
        <v>0.39965247610773236</v>
      </c>
      <c r="D40" s="527">
        <f>D39/D11</f>
        <v>0.44294294294294295</v>
      </c>
      <c r="E40" s="527">
        <f>E39/E11</f>
        <v>0.47983310152990261</v>
      </c>
      <c r="F40" s="533">
        <f>F39/F11</f>
        <v>0.46725146198830408</v>
      </c>
      <c r="G40" s="533">
        <f>G39/G11</f>
        <v>0.3864368117369113</v>
      </c>
      <c r="H40" s="533">
        <f>H39/H11</f>
        <v>0.40763396949745812</v>
      </c>
      <c r="I40" s="533">
        <f>I39/I11</f>
        <v>0.43790546187829182</v>
      </c>
      <c r="J40" s="533">
        <f>J39/J11</f>
        <v>0.46875106998727389</v>
      </c>
      <c r="K40" s="534">
        <f>K39/K11</f>
        <v>0.51799799843009509</v>
      </c>
      <c r="L40" s="534">
        <f>L39/L11</f>
        <v>0.5482255478331286</v>
      </c>
      <c r="M40" s="534">
        <f>M39/M11</f>
        <v>0.56442137560977346</v>
      </c>
      <c r="N40" s="534">
        <f>N39/N11</f>
        <v>0.59059724575002448</v>
      </c>
      <c r="O40" s="534">
        <f>O39/O11</f>
        <v>0.60645723832992426</v>
      </c>
    </row>
    <row r="41" spans="1:15" x14ac:dyDescent="0.3">
      <c r="A41" s="17"/>
      <c r="B41" s="22"/>
      <c r="C41" s="26"/>
      <c r="D41" s="26"/>
      <c r="E41" s="26"/>
      <c r="F41" s="27"/>
      <c r="G41" s="27"/>
      <c r="H41" s="27"/>
      <c r="I41" s="27"/>
      <c r="J41" s="27"/>
      <c r="K41" s="317"/>
      <c r="L41" s="317"/>
      <c r="M41" s="317"/>
      <c r="N41" s="317"/>
      <c r="O41" s="317"/>
    </row>
    <row r="42" spans="1:15" x14ac:dyDescent="0.3">
      <c r="A42" s="522" t="s">
        <v>288</v>
      </c>
      <c r="B42" s="22"/>
      <c r="C42" s="526">
        <f t="shared" ref="C42:O42" si="9">C32+C39</f>
        <v>11.51</v>
      </c>
      <c r="D42" s="526">
        <f t="shared" si="9"/>
        <v>13.32</v>
      </c>
      <c r="E42" s="526">
        <f t="shared" si="9"/>
        <v>21.57</v>
      </c>
      <c r="F42" s="531">
        <f t="shared" si="9"/>
        <v>34.200000000000003</v>
      </c>
      <c r="G42" s="531">
        <f t="shared" si="9"/>
        <v>56.464599999999997</v>
      </c>
      <c r="H42" s="531">
        <f t="shared" si="9"/>
        <v>74.993750000000006</v>
      </c>
      <c r="I42" s="531">
        <f t="shared" si="9"/>
        <v>94.221249999999998</v>
      </c>
      <c r="J42" s="531">
        <f t="shared" si="9"/>
        <v>113.173075</v>
      </c>
      <c r="K42" s="532">
        <f t="shared" si="9"/>
        <v>132.22058812500001</v>
      </c>
      <c r="L42" s="532">
        <f t="shared" si="9"/>
        <v>158.09186628125002</v>
      </c>
      <c r="M42" s="532">
        <f t="shared" si="9"/>
        <v>189.66326334531249</v>
      </c>
      <c r="N42" s="532">
        <f t="shared" si="9"/>
        <v>219.08331088757811</v>
      </c>
      <c r="O42" s="532">
        <f t="shared" si="9"/>
        <v>250.35565643195704</v>
      </c>
    </row>
    <row r="43" spans="1:15" x14ac:dyDescent="0.3">
      <c r="A43" s="524" t="s">
        <v>289</v>
      </c>
      <c r="B43" s="22"/>
      <c r="C43" s="528">
        <f>ROUND(C42-C11,2)</f>
        <v>0</v>
      </c>
      <c r="D43" s="528">
        <f>ROUND(D42-D11,2)</f>
        <v>0</v>
      </c>
      <c r="E43" s="528">
        <f>ROUND(E42-E11,2)</f>
        <v>0</v>
      </c>
      <c r="F43" s="528">
        <f>ROUND(F42-F11,2)</f>
        <v>0</v>
      </c>
      <c r="G43" s="528">
        <f>ROUND(G42-G11,2)</f>
        <v>0</v>
      </c>
      <c r="H43" s="528">
        <f>ROUND(H42-H11,2)</f>
        <v>0</v>
      </c>
      <c r="I43" s="528">
        <f>ROUND(I42-I11,2)</f>
        <v>0</v>
      </c>
      <c r="J43" s="528">
        <f>ROUND(J42-J11,2)</f>
        <v>0</v>
      </c>
      <c r="K43" s="535">
        <f>ROUND(K42-K11,2)</f>
        <v>0</v>
      </c>
      <c r="L43" s="535">
        <f>ROUND(L42-L11,2)</f>
        <v>0</v>
      </c>
      <c r="M43" s="535">
        <f>ROUND(M42-M11,2)</f>
        <v>0</v>
      </c>
      <c r="N43" s="535">
        <f>ROUND(N42-N11,2)</f>
        <v>0</v>
      </c>
      <c r="O43" s="535">
        <f>ROUND(O42-O11,2)</f>
        <v>0</v>
      </c>
    </row>
    <row r="44" spans="1:15" x14ac:dyDescent="0.3">
      <c r="A44" s="17"/>
      <c r="B44" s="22"/>
      <c r="C44" s="26"/>
      <c r="D44" s="26"/>
      <c r="E44" s="26"/>
      <c r="F44" s="27"/>
      <c r="G44" s="27"/>
      <c r="H44" s="27"/>
      <c r="I44" s="27"/>
      <c r="J44" s="27"/>
      <c r="K44" s="317"/>
      <c r="L44" s="317"/>
      <c r="M44" s="317"/>
      <c r="N44" s="317"/>
      <c r="O44" s="317"/>
    </row>
    <row r="45" spans="1:15" ht="15" thickBot="1" x14ac:dyDescent="0.35">
      <c r="C45" s="212"/>
      <c r="D45" s="212"/>
      <c r="E45" s="212"/>
      <c r="F45" s="212"/>
      <c r="G45" s="212"/>
      <c r="H45" s="212"/>
      <c r="I45" s="212"/>
      <c r="J45" s="212"/>
      <c r="K45" s="314"/>
      <c r="L45" s="314"/>
      <c r="M45" s="314"/>
      <c r="N45" s="314"/>
      <c r="O45" s="314"/>
    </row>
    <row r="46" spans="1:15" ht="22.05" customHeight="1" x14ac:dyDescent="0.3">
      <c r="A46" s="18" t="s">
        <v>26</v>
      </c>
      <c r="B46" s="18"/>
      <c r="C46" s="213"/>
      <c r="D46" s="213"/>
      <c r="E46" s="213"/>
      <c r="F46" s="213"/>
      <c r="G46" s="213"/>
      <c r="H46" s="213"/>
      <c r="I46" s="213"/>
      <c r="J46" s="215"/>
      <c r="K46" s="309"/>
      <c r="L46" s="309"/>
      <c r="M46" s="309"/>
      <c r="N46" s="309"/>
      <c r="O46" s="309"/>
    </row>
    <row r="47" spans="1:15" x14ac:dyDescent="0.3">
      <c r="A47" s="15" t="s">
        <v>27</v>
      </c>
      <c r="B47" s="15"/>
      <c r="C47" s="25">
        <f>'Income Statement'!C9/'Income Statement'!C6</f>
        <v>0.13043478260869565</v>
      </c>
      <c r="D47" s="25">
        <f>'Income Statement'!D9/'Income Statement'!D6</f>
        <v>9.3506493506493524E-2</v>
      </c>
      <c r="E47" s="25">
        <f>'Income Statement'!E9/'Income Statement'!E6</f>
        <v>0.15568862275449102</v>
      </c>
      <c r="F47" s="28">
        <v>0.16500000000000001</v>
      </c>
      <c r="G47" s="28">
        <v>0.13</v>
      </c>
      <c r="H47" s="28">
        <v>0.125</v>
      </c>
      <c r="I47" s="28">
        <v>0.12</v>
      </c>
      <c r="J47" s="28">
        <v>0.115</v>
      </c>
      <c r="K47" s="319">
        <v>0.11</v>
      </c>
      <c r="L47" s="319">
        <v>0.11</v>
      </c>
      <c r="M47" s="319">
        <v>0.11</v>
      </c>
      <c r="N47" s="319">
        <v>0.11</v>
      </c>
      <c r="O47" s="319">
        <v>0.11</v>
      </c>
    </row>
    <row r="48" spans="1:15" x14ac:dyDescent="0.3">
      <c r="A48" s="15" t="s">
        <v>28</v>
      </c>
      <c r="B48" s="15"/>
      <c r="C48" s="25">
        <v>0.42309999999999998</v>
      </c>
      <c r="D48" s="25">
        <v>0.31680000000000003</v>
      </c>
      <c r="E48" s="25">
        <v>0.06</v>
      </c>
      <c r="F48" s="28">
        <v>6.5000000000000002E-2</v>
      </c>
      <c r="G48" s="28">
        <v>0.06</v>
      </c>
      <c r="H48" s="28">
        <v>6.5000000000000002E-2</v>
      </c>
      <c r="I48" s="28">
        <v>7.0000000000000007E-2</v>
      </c>
      <c r="J48" s="28">
        <v>7.4999999999999997E-2</v>
      </c>
      <c r="K48" s="319">
        <v>0.08</v>
      </c>
      <c r="L48" s="319">
        <v>0.08</v>
      </c>
      <c r="M48" s="319">
        <v>0.08</v>
      </c>
      <c r="N48" s="319">
        <v>0.08</v>
      </c>
      <c r="O48" s="319">
        <v>0.08</v>
      </c>
    </row>
    <row r="49" spans="1:16" x14ac:dyDescent="0.3">
      <c r="A49" s="15" t="s">
        <v>29</v>
      </c>
      <c r="B49" s="15"/>
      <c r="C49" s="32">
        <v>0.84</v>
      </c>
      <c r="D49" s="32">
        <v>1.42</v>
      </c>
      <c r="E49" s="32">
        <v>2.9</v>
      </c>
      <c r="F49" s="35">
        <v>2.5</v>
      </c>
      <c r="G49" s="35">
        <f>ROUND('Balance Sheet'!G15*G50,2)</f>
        <v>2.14</v>
      </c>
      <c r="H49" s="35">
        <f>ROUND('Balance Sheet'!H15*H50,2)</f>
        <v>3.42</v>
      </c>
      <c r="I49" s="35">
        <f>ROUND('Balance Sheet'!I15*I50,2)</f>
        <v>5.25</v>
      </c>
      <c r="J49" s="35">
        <f>ROUND('Balance Sheet'!J15*J50,2)</f>
        <v>7.72</v>
      </c>
      <c r="K49" s="320">
        <f>ROUND('Balance Sheet'!K15*K50,2)</f>
        <v>10.35</v>
      </c>
      <c r="L49" s="320">
        <f>ROUND('Balance Sheet'!L15*L50,2)</f>
        <v>13.53</v>
      </c>
      <c r="M49" s="320">
        <f>ROUND('Balance Sheet'!M15*M50,2)</f>
        <v>17.03</v>
      </c>
      <c r="N49" s="320">
        <f>ROUND('Balance Sheet'!N15*N50,2)</f>
        <v>21.33</v>
      </c>
      <c r="O49" s="320">
        <f>ROUND('Balance Sheet'!O15*O50,2)</f>
        <v>26.21</v>
      </c>
    </row>
    <row r="50" spans="1:16" x14ac:dyDescent="0.3">
      <c r="A50" s="17" t="s">
        <v>277</v>
      </c>
      <c r="B50" s="17" t="s">
        <v>278</v>
      </c>
      <c r="C50" s="521">
        <v>0.105</v>
      </c>
      <c r="D50" s="521">
        <v>9.8000000000000004E-2</v>
      </c>
      <c r="E50" s="521">
        <v>0.105</v>
      </c>
      <c r="F50" s="520">
        <v>0.105</v>
      </c>
      <c r="G50" s="520">
        <v>0.105</v>
      </c>
      <c r="H50" s="520">
        <v>0.10249999999999999</v>
      </c>
      <c r="I50" s="520">
        <v>0.1</v>
      </c>
      <c r="J50" s="520">
        <v>9.7500000000000003E-2</v>
      </c>
      <c r="K50" s="520">
        <v>9.5000000000000001E-2</v>
      </c>
      <c r="L50" s="520">
        <v>9.5000000000000001E-2</v>
      </c>
      <c r="M50" s="520">
        <v>9.2499999999999999E-2</v>
      </c>
      <c r="N50" s="520">
        <v>9.2499999999999999E-2</v>
      </c>
      <c r="O50" s="520">
        <v>0.09</v>
      </c>
      <c r="P50" s="519"/>
    </row>
    <row r="51" spans="1:16" x14ac:dyDescent="0.3">
      <c r="A51" s="17" t="s">
        <v>30</v>
      </c>
      <c r="B51" s="17"/>
      <c r="C51" s="26">
        <v>0.25800000000000001</v>
      </c>
      <c r="D51" s="26">
        <v>0.25800000000000001</v>
      </c>
      <c r="E51" s="26">
        <v>0.25</v>
      </c>
      <c r="F51" s="27">
        <v>0.252</v>
      </c>
      <c r="G51" s="27">
        <v>0.252</v>
      </c>
      <c r="H51" s="27">
        <v>0.252</v>
      </c>
      <c r="I51" s="27">
        <v>0.252</v>
      </c>
      <c r="J51" s="27">
        <v>0.252</v>
      </c>
      <c r="K51" s="27">
        <v>0.252</v>
      </c>
      <c r="L51" s="27">
        <v>0.252</v>
      </c>
      <c r="M51" s="27">
        <v>0.252</v>
      </c>
      <c r="N51" s="27">
        <v>0.252</v>
      </c>
      <c r="O51" s="27">
        <v>0.252</v>
      </c>
    </row>
    <row r="52" spans="1:16" ht="15" thickBot="1" x14ac:dyDescent="0.35">
      <c r="A52" s="19"/>
      <c r="B52" s="19"/>
      <c r="C52" s="212"/>
      <c r="D52" s="212"/>
      <c r="E52" s="212"/>
      <c r="F52" s="212"/>
      <c r="G52" s="212"/>
      <c r="H52" s="212"/>
      <c r="I52" s="212"/>
      <c r="J52" s="212"/>
      <c r="K52" s="314"/>
      <c r="L52" s="314"/>
      <c r="M52" s="314"/>
      <c r="N52" s="314"/>
      <c r="O52" s="314"/>
    </row>
    <row r="53" spans="1:16" ht="22.05" customHeight="1" x14ac:dyDescent="0.3">
      <c r="A53" s="18" t="s">
        <v>31</v>
      </c>
      <c r="B53" s="18"/>
      <c r="C53" s="213"/>
      <c r="D53" s="213"/>
      <c r="E53" s="213"/>
      <c r="F53" s="213"/>
      <c r="G53" s="213"/>
      <c r="H53" s="213"/>
      <c r="I53" s="213"/>
      <c r="J53" s="216"/>
      <c r="K53" s="309"/>
      <c r="L53" s="309"/>
      <c r="M53" s="309"/>
      <c r="N53" s="309"/>
      <c r="O53" s="309"/>
    </row>
    <row r="54" spans="1:16" x14ac:dyDescent="0.3">
      <c r="A54" s="15" t="s">
        <v>32</v>
      </c>
      <c r="B54" s="15"/>
      <c r="C54" s="32">
        <v>25</v>
      </c>
      <c r="D54" s="32">
        <v>50</v>
      </c>
      <c r="E54" s="32">
        <v>80.69</v>
      </c>
      <c r="F54" s="35">
        <v>95</v>
      </c>
      <c r="G54" s="35">
        <v>135</v>
      </c>
      <c r="H54" s="35">
        <v>185</v>
      </c>
      <c r="I54" s="35">
        <v>245</v>
      </c>
      <c r="J54" s="35">
        <v>310</v>
      </c>
      <c r="K54" s="318">
        <v>370</v>
      </c>
      <c r="L54" s="318">
        <v>430</v>
      </c>
      <c r="M54" s="318">
        <v>530</v>
      </c>
      <c r="N54" s="318">
        <v>640</v>
      </c>
      <c r="O54" s="318">
        <v>750</v>
      </c>
    </row>
    <row r="55" spans="1:16" x14ac:dyDescent="0.3">
      <c r="A55" s="15" t="s">
        <v>33</v>
      </c>
      <c r="B55" s="15"/>
      <c r="C55" s="32">
        <v>28.77</v>
      </c>
      <c r="D55" s="32">
        <v>33.770000000000003</v>
      </c>
      <c r="E55" s="32">
        <v>34.54</v>
      </c>
      <c r="F55" s="35">
        <v>34.54</v>
      </c>
      <c r="G55" s="35">
        <v>34.54</v>
      </c>
      <c r="H55" s="35">
        <v>34.54</v>
      </c>
      <c r="I55" s="35">
        <v>34.54</v>
      </c>
      <c r="J55" s="35">
        <v>34.54</v>
      </c>
      <c r="K55" s="306">
        <v>34.54</v>
      </c>
      <c r="L55" s="306">
        <v>34.54</v>
      </c>
      <c r="M55" s="306">
        <v>34.54</v>
      </c>
      <c r="N55" s="306">
        <v>34.54</v>
      </c>
      <c r="O55" s="306">
        <v>34.54</v>
      </c>
    </row>
    <row r="56" spans="1:16" x14ac:dyDescent="0.3">
      <c r="A56" s="15" t="s">
        <v>34</v>
      </c>
      <c r="B56" s="15"/>
      <c r="C56" s="32">
        <v>2.88</v>
      </c>
      <c r="D56" s="32">
        <v>3.38</v>
      </c>
      <c r="E56" s="32">
        <v>3.45</v>
      </c>
      <c r="F56" s="35">
        <v>3.45</v>
      </c>
      <c r="G56" s="35">
        <v>3.45</v>
      </c>
      <c r="H56" s="35">
        <v>3.45</v>
      </c>
      <c r="I56" s="35">
        <v>3.45</v>
      </c>
      <c r="J56" s="32">
        <v>3.45</v>
      </c>
      <c r="K56" s="321">
        <v>3.45</v>
      </c>
      <c r="L56" s="321">
        <v>3.45</v>
      </c>
      <c r="M56" s="321">
        <v>3.45</v>
      </c>
      <c r="N56" s="321">
        <v>3.45</v>
      </c>
      <c r="O56" s="321">
        <v>3.45</v>
      </c>
    </row>
    <row r="57" spans="1:16" x14ac:dyDescent="0.3">
      <c r="A57" s="15" t="s">
        <v>35</v>
      </c>
      <c r="B57" s="15"/>
      <c r="C57" s="517">
        <v>5.0000000000000001E-3</v>
      </c>
      <c r="D57" s="517">
        <v>0</v>
      </c>
      <c r="E57" s="517">
        <v>4.0000000000000001E-3</v>
      </c>
      <c r="F57" s="516">
        <v>4.0000000000000001E-3</v>
      </c>
      <c r="G57" s="516">
        <v>4.4999999999999997E-3</v>
      </c>
      <c r="H57" s="516">
        <v>5.0000000000000001E-3</v>
      </c>
      <c r="I57" s="516">
        <v>5.0000000000000001E-3</v>
      </c>
      <c r="J57" s="516">
        <v>5.0000000000000001E-3</v>
      </c>
      <c r="K57" s="516">
        <v>5.0000000000000001E-3</v>
      </c>
      <c r="L57" s="516">
        <v>5.0000000000000001E-3</v>
      </c>
      <c r="M57" s="516">
        <v>5.0000000000000001E-3</v>
      </c>
      <c r="N57" s="516">
        <v>5.0000000000000001E-3</v>
      </c>
      <c r="O57" s="516">
        <v>5.0000000000000001E-3</v>
      </c>
    </row>
    <row r="58" spans="1:16" x14ac:dyDescent="0.3">
      <c r="A58" s="17" t="s">
        <v>273</v>
      </c>
      <c r="B58" s="22" t="s">
        <v>36</v>
      </c>
      <c r="C58" s="38">
        <v>0.3</v>
      </c>
      <c r="D58" s="38">
        <v>0.4</v>
      </c>
      <c r="E58" s="38">
        <f>'Balance Sheet'!F24</f>
        <v>0.18454986395362594</v>
      </c>
      <c r="F58" s="39">
        <v>0.2</v>
      </c>
      <c r="G58" s="39">
        <v>0.25</v>
      </c>
      <c r="H58" s="39">
        <v>0.3</v>
      </c>
      <c r="I58" s="39">
        <v>0.35</v>
      </c>
      <c r="J58" s="39">
        <v>0.38</v>
      </c>
      <c r="K58" s="39">
        <v>0.4</v>
      </c>
      <c r="L58" s="39">
        <v>0.42</v>
      </c>
      <c r="M58" s="39">
        <v>0.43</v>
      </c>
      <c r="N58" s="39">
        <v>0.45</v>
      </c>
      <c r="O58" s="39">
        <v>0.45</v>
      </c>
    </row>
    <row r="59" spans="1:16" ht="15" thickBot="1" x14ac:dyDescent="0.35">
      <c r="A59" s="19"/>
      <c r="B59" s="19"/>
      <c r="C59" s="212"/>
      <c r="D59" s="212"/>
      <c r="E59" s="212"/>
      <c r="F59" s="212"/>
      <c r="G59" s="212"/>
      <c r="H59" s="212"/>
      <c r="I59" s="212"/>
      <c r="J59" s="212"/>
      <c r="K59" s="315"/>
      <c r="L59" s="315"/>
      <c r="M59" s="315"/>
      <c r="N59" s="315"/>
      <c r="O59" s="315"/>
    </row>
    <row r="60" spans="1:16" ht="22.05" customHeight="1" x14ac:dyDescent="0.3">
      <c r="A60" s="11" t="s">
        <v>37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6" x14ac:dyDescent="0.3">
      <c r="A61" s="40" t="s">
        <v>38</v>
      </c>
      <c r="B61" s="40" t="s">
        <v>39</v>
      </c>
      <c r="C61" s="40" t="s">
        <v>40</v>
      </c>
      <c r="D61" s="40" t="s">
        <v>41</v>
      </c>
      <c r="E61" s="40" t="s">
        <v>42</v>
      </c>
    </row>
    <row r="62" spans="1:16" x14ac:dyDescent="0.3">
      <c r="A62" s="41" t="s">
        <v>43</v>
      </c>
      <c r="B62" s="41" t="s">
        <v>44</v>
      </c>
      <c r="C62" s="41" t="s">
        <v>45</v>
      </c>
      <c r="D62" s="42" t="s">
        <v>296</v>
      </c>
      <c r="E62" s="41" t="s">
        <v>244</v>
      </c>
    </row>
    <row r="63" spans="1:16" x14ac:dyDescent="0.3">
      <c r="A63" s="43" t="s">
        <v>47</v>
      </c>
      <c r="B63" s="43" t="s">
        <v>293</v>
      </c>
      <c r="C63" s="43" t="s">
        <v>48</v>
      </c>
      <c r="D63" s="44" t="s">
        <v>52</v>
      </c>
      <c r="E63" s="43" t="s">
        <v>294</v>
      </c>
    </row>
    <row r="64" spans="1:16" x14ac:dyDescent="0.3">
      <c r="A64" s="43" t="s">
        <v>49</v>
      </c>
      <c r="B64" s="43" t="s">
        <v>50</v>
      </c>
      <c r="C64" s="43" t="s">
        <v>51</v>
      </c>
      <c r="D64" s="44" t="s">
        <v>52</v>
      </c>
      <c r="E64" s="43" t="s">
        <v>306</v>
      </c>
    </row>
    <row r="65" spans="1:10" x14ac:dyDescent="0.3">
      <c r="A65" s="43" t="s">
        <v>53</v>
      </c>
      <c r="B65" s="43" t="s">
        <v>54</v>
      </c>
      <c r="C65" s="43" t="s">
        <v>55</v>
      </c>
      <c r="D65" s="45" t="s">
        <v>46</v>
      </c>
      <c r="E65" s="43" t="s">
        <v>245</v>
      </c>
    </row>
    <row r="66" spans="1:10" x14ac:dyDescent="0.3">
      <c r="A66" s="46" t="s">
        <v>56</v>
      </c>
      <c r="B66" s="46" t="s">
        <v>57</v>
      </c>
      <c r="C66" s="46" t="s">
        <v>58</v>
      </c>
      <c r="D66" s="47" t="s">
        <v>46</v>
      </c>
      <c r="E66" s="46" t="s">
        <v>59</v>
      </c>
    </row>
    <row r="68" spans="1:10" x14ac:dyDescent="0.3">
      <c r="A68" s="498" t="s">
        <v>246</v>
      </c>
      <c r="B68" s="499"/>
      <c r="C68" s="499"/>
      <c r="D68" s="499"/>
      <c r="E68" s="499"/>
      <c r="F68" s="499"/>
    </row>
    <row r="69" spans="1:10" ht="15" thickBot="1" x14ac:dyDescent="0.35">
      <c r="A69" s="500" t="s">
        <v>247</v>
      </c>
      <c r="B69" s="501" t="s">
        <v>248</v>
      </c>
      <c r="C69" s="501" t="s">
        <v>249</v>
      </c>
      <c r="D69" s="536" t="s">
        <v>250</v>
      </c>
      <c r="E69" s="501" t="s">
        <v>251</v>
      </c>
      <c r="F69" s="501" t="s">
        <v>42</v>
      </c>
    </row>
    <row r="70" spans="1:10" x14ac:dyDescent="0.3">
      <c r="A70" s="502" t="s">
        <v>10</v>
      </c>
      <c r="B70" s="503">
        <v>7.8</v>
      </c>
      <c r="C70" s="504">
        <f>F5/4</f>
        <v>8.56</v>
      </c>
      <c r="D70" s="504">
        <f>B70*4</f>
        <v>31.2</v>
      </c>
      <c r="E70" s="505">
        <f>(D70-F5)/F5</f>
        <v>-8.8785046728972042E-2</v>
      </c>
      <c r="F70" s="502" t="s">
        <v>252</v>
      </c>
    </row>
    <row r="71" spans="1:10" x14ac:dyDescent="0.3">
      <c r="A71" s="17" t="s">
        <v>129</v>
      </c>
      <c r="B71" s="308">
        <v>6.03</v>
      </c>
      <c r="C71" s="506">
        <f>'Income Statement'!G12/4</f>
        <v>6.5950000000000006</v>
      </c>
      <c r="D71" s="506">
        <f>B71*4</f>
        <v>24.12</v>
      </c>
      <c r="E71" s="26">
        <f>(D71-'Income Statement'!G12)/'Income Statement'!G12</f>
        <v>-8.5670962850644475E-2</v>
      </c>
      <c r="F71" s="17" t="s">
        <v>253</v>
      </c>
    </row>
    <row r="72" spans="1:10" x14ac:dyDescent="0.3">
      <c r="A72" s="17" t="s">
        <v>254</v>
      </c>
      <c r="B72" s="308">
        <v>4</v>
      </c>
      <c r="C72" s="506">
        <f>F7/4</f>
        <v>4.3900000000000006</v>
      </c>
      <c r="D72" s="506">
        <f>B72*4</f>
        <v>16</v>
      </c>
      <c r="E72" s="26">
        <f>(D72-F7)/F7</f>
        <v>-8.8838268792710826E-2</v>
      </c>
      <c r="F72" s="17" t="s">
        <v>255</v>
      </c>
    </row>
    <row r="73" spans="1:10" x14ac:dyDescent="0.3">
      <c r="A73" s="17" t="s">
        <v>134</v>
      </c>
      <c r="B73" s="27">
        <v>0.77</v>
      </c>
      <c r="C73" s="26">
        <f>'Income Statement'!G13</f>
        <v>0.77044392523364491</v>
      </c>
      <c r="D73" s="26">
        <v>0.77</v>
      </c>
      <c r="E73" s="507" t="s">
        <v>256</v>
      </c>
      <c r="F73" s="17" t="s">
        <v>257</v>
      </c>
    </row>
    <row r="74" spans="1:10" x14ac:dyDescent="0.3">
      <c r="A74" s="17" t="s">
        <v>135</v>
      </c>
      <c r="B74" s="27">
        <v>0.51</v>
      </c>
      <c r="C74" s="26">
        <f>'Income Statement'!G22</f>
        <v>0.51285046728971961</v>
      </c>
      <c r="D74" s="26">
        <v>0.51</v>
      </c>
      <c r="E74" s="507" t="s">
        <v>256</v>
      </c>
      <c r="F74" s="17" t="s">
        <v>258</v>
      </c>
    </row>
    <row r="75" spans="1:10" x14ac:dyDescent="0.3">
      <c r="A75" s="17" t="s">
        <v>259</v>
      </c>
      <c r="B75" s="308">
        <v>0.69</v>
      </c>
      <c r="C75" s="506">
        <f>F49/4</f>
        <v>0.625</v>
      </c>
      <c r="D75" s="506">
        <f>B75*4</f>
        <v>2.76</v>
      </c>
      <c r="E75" s="26">
        <f>(D75-F49)/F49</f>
        <v>0.10399999999999991</v>
      </c>
      <c r="F75" s="17" t="s">
        <v>260</v>
      </c>
    </row>
    <row r="76" spans="1:10" x14ac:dyDescent="0.3">
      <c r="A76" s="17" t="s">
        <v>261</v>
      </c>
      <c r="B76" s="308">
        <v>210</v>
      </c>
      <c r="C76" s="508">
        <f>F26</f>
        <v>194</v>
      </c>
      <c r="D76" s="508" t="s">
        <v>262</v>
      </c>
      <c r="E76" s="507" t="s">
        <v>263</v>
      </c>
      <c r="F76" s="17" t="s">
        <v>264</v>
      </c>
    </row>
    <row r="77" spans="1:10" x14ac:dyDescent="0.3">
      <c r="A77" s="17" t="s">
        <v>19</v>
      </c>
      <c r="B77" s="308">
        <v>180</v>
      </c>
      <c r="C77" s="508">
        <f>F17</f>
        <v>210</v>
      </c>
      <c r="D77" s="508" t="s">
        <v>305</v>
      </c>
      <c r="E77" s="509" t="s">
        <v>46</v>
      </c>
      <c r="F77" s="17" t="s">
        <v>292</v>
      </c>
    </row>
    <row r="78" spans="1:10" x14ac:dyDescent="0.3">
      <c r="A78" s="17" t="s">
        <v>265</v>
      </c>
      <c r="B78" s="510">
        <v>0.36</v>
      </c>
      <c r="C78" s="26">
        <f>F6</f>
        <v>0.58298659269533071</v>
      </c>
      <c r="D78" s="17"/>
      <c r="E78" s="509" t="s">
        <v>266</v>
      </c>
      <c r="F78" s="17" t="s">
        <v>267</v>
      </c>
    </row>
    <row r="79" spans="1:10" ht="15" thickBot="1" x14ac:dyDescent="0.35">
      <c r="A79" s="511" t="s">
        <v>268</v>
      </c>
      <c r="B79" s="512">
        <v>0.62</v>
      </c>
      <c r="C79" s="513">
        <f>F8</f>
        <v>0.62442183163737297</v>
      </c>
      <c r="D79" s="511"/>
      <c r="E79" s="514" t="s">
        <v>263</v>
      </c>
      <c r="F79" s="511" t="s">
        <v>269</v>
      </c>
    </row>
    <row r="80" spans="1:10" ht="22.05" customHeight="1" x14ac:dyDescent="0.3">
      <c r="A80" s="12" t="s">
        <v>60</v>
      </c>
      <c r="B80" s="12"/>
      <c r="C80" s="12"/>
      <c r="D80" s="12"/>
      <c r="E80" s="12"/>
      <c r="F80" s="12"/>
      <c r="G80" s="12"/>
      <c r="H80" s="12"/>
      <c r="I80" s="12"/>
      <c r="J80" s="12"/>
    </row>
    <row r="81" spans="1:10" ht="72.599999999999994" x14ac:dyDescent="0.3">
      <c r="A81" s="218" t="s">
        <v>183</v>
      </c>
      <c r="B81" s="217"/>
      <c r="C81" s="217"/>
      <c r="D81" s="217"/>
      <c r="E81" s="217"/>
      <c r="F81" s="217">
        <f>120000000/25000</f>
        <v>4800</v>
      </c>
      <c r="G81" s="217">
        <f>F81/F17</f>
        <v>22.857142857142858</v>
      </c>
      <c r="H81" s="217"/>
      <c r="I81" s="217">
        <f>95000000/25000</f>
        <v>3800</v>
      </c>
      <c r="J81" s="217"/>
    </row>
    <row r="82" spans="1:10" ht="48.6" x14ac:dyDescent="0.3">
      <c r="A82" s="218" t="s">
        <v>184</v>
      </c>
      <c r="B82" s="217"/>
      <c r="C82" s="217"/>
      <c r="D82" s="217"/>
      <c r="E82" s="217"/>
      <c r="F82" s="217" t="s">
        <v>307</v>
      </c>
      <c r="G82" s="217"/>
      <c r="H82" s="217"/>
      <c r="I82" s="217"/>
      <c r="J82" s="217"/>
    </row>
    <row r="83" spans="1:10" ht="108.6" x14ac:dyDescent="0.3">
      <c r="A83" s="218" t="s">
        <v>295</v>
      </c>
      <c r="B83" s="217"/>
      <c r="C83" s="217"/>
      <c r="D83" s="217"/>
      <c r="E83" s="217"/>
      <c r="F83" s="217"/>
      <c r="G83" s="217"/>
      <c r="H83" s="217"/>
      <c r="I83" s="217"/>
      <c r="J83" s="217"/>
    </row>
    <row r="84" spans="1:10" ht="48.6" x14ac:dyDescent="0.3">
      <c r="A84" s="218" t="s">
        <v>276</v>
      </c>
      <c r="B84" s="217"/>
      <c r="C84" s="217"/>
      <c r="D84" s="217"/>
      <c r="E84" s="217"/>
      <c r="F84" s="217"/>
      <c r="G84" s="217"/>
      <c r="H84" s="217"/>
      <c r="I84" s="217"/>
      <c r="J84" s="217"/>
    </row>
    <row r="85" spans="1:10" ht="72.599999999999994" x14ac:dyDescent="0.3">
      <c r="A85" s="218" t="s">
        <v>275</v>
      </c>
      <c r="B85" s="217"/>
      <c r="C85" s="217"/>
      <c r="D85" s="217"/>
      <c r="E85" s="217"/>
      <c r="F85" s="217"/>
      <c r="G85" s="217"/>
      <c r="H85" s="217"/>
      <c r="I85" s="217"/>
      <c r="J85" s="217"/>
    </row>
  </sheetData>
  <mergeCells count="1">
    <mergeCell ref="A1:O1"/>
  </mergeCells>
  <pageMargins left="0.7" right="0.7" top="0.75" bottom="0.75" header="0.3" footer="0.3"/>
  <ignoredErrors>
    <ignoredError sqref="E6 F7:O7 C71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8B0D-DCB5-40C4-8466-0ACC3098396F}">
  <sheetPr>
    <tabColor rgb="FF375623"/>
  </sheetPr>
  <dimension ref="A1:P24"/>
  <sheetViews>
    <sheetView zoomScale="94" workbookViewId="0">
      <pane ySplit="3" topLeftCell="A4" activePane="bottomLeft" state="frozen"/>
      <selection pane="bottomLeft" activeCell="G4" sqref="G4"/>
    </sheetView>
  </sheetViews>
  <sheetFormatPr defaultRowHeight="14.4" x14ac:dyDescent="0.3"/>
  <cols>
    <col min="1" max="1" width="46.33203125" customWidth="1"/>
    <col min="2" max="2" width="2.77734375" customWidth="1"/>
    <col min="3" max="16" width="16.6640625" customWidth="1"/>
  </cols>
  <sheetData>
    <row r="1" spans="1:16" ht="30" customHeight="1" x14ac:dyDescent="0.35">
      <c r="A1" s="542" t="s">
        <v>61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</row>
    <row r="2" spans="1:16" ht="18" customHeight="1" thickBot="1" x14ac:dyDescent="0.35">
      <c r="A2" s="6" t="s">
        <v>62</v>
      </c>
      <c r="B2" s="6"/>
      <c r="C2" s="6"/>
      <c r="D2" s="6"/>
      <c r="E2" s="6"/>
      <c r="F2" s="6"/>
      <c r="G2" s="6"/>
      <c r="H2" s="6"/>
      <c r="I2" s="6"/>
      <c r="J2" s="6"/>
      <c r="K2" s="515"/>
      <c r="L2" s="488"/>
      <c r="M2" s="488"/>
      <c r="N2" s="488"/>
      <c r="O2" s="488"/>
      <c r="P2" s="488"/>
    </row>
    <row r="3" spans="1:16" ht="22.05" customHeight="1" x14ac:dyDescent="0.3">
      <c r="A3" s="80" t="s">
        <v>63</v>
      </c>
      <c r="B3" s="78"/>
      <c r="C3" s="78" t="s">
        <v>64</v>
      </c>
      <c r="D3" s="78" t="s">
        <v>3</v>
      </c>
      <c r="E3" s="78" t="s">
        <v>4</v>
      </c>
      <c r="F3" s="78" t="s">
        <v>5</v>
      </c>
      <c r="G3" s="79" t="s">
        <v>6</v>
      </c>
      <c r="H3" s="79" t="s">
        <v>7</v>
      </c>
      <c r="I3" s="79" t="s">
        <v>8</v>
      </c>
      <c r="J3" s="79" t="s">
        <v>9</v>
      </c>
      <c r="K3" s="79" t="s">
        <v>65</v>
      </c>
      <c r="L3" s="79" t="s">
        <v>236</v>
      </c>
      <c r="M3" s="79" t="s">
        <v>237</v>
      </c>
      <c r="N3" s="79" t="s">
        <v>238</v>
      </c>
      <c r="O3" s="79" t="s">
        <v>239</v>
      </c>
      <c r="P3" s="82" t="s">
        <v>240</v>
      </c>
    </row>
    <row r="4" spans="1:16" x14ac:dyDescent="0.3">
      <c r="A4" s="219" t="s">
        <v>66</v>
      </c>
      <c r="B4" s="247"/>
      <c r="C4" s="248">
        <v>8.4600000000000009</v>
      </c>
      <c r="D4" s="249">
        <v>11.51</v>
      </c>
      <c r="E4" s="249">
        <v>13.32</v>
      </c>
      <c r="F4" s="249">
        <v>21.57</v>
      </c>
      <c r="G4" s="249">
        <f>Assumptions!F42</f>
        <v>34.200000000000003</v>
      </c>
      <c r="H4" s="249">
        <f>Assumptions!G42</f>
        <v>56.464599999999997</v>
      </c>
      <c r="I4" s="249">
        <f>Assumptions!H42</f>
        <v>74.993750000000006</v>
      </c>
      <c r="J4" s="249">
        <f>Assumptions!I42</f>
        <v>94.221249999999998</v>
      </c>
      <c r="K4" s="323">
        <f>Assumptions!J42</f>
        <v>113.173075</v>
      </c>
      <c r="L4" s="249">
        <f>Assumptions!K42</f>
        <v>132.22058812500001</v>
      </c>
      <c r="M4" s="248">
        <f>Assumptions!L42</f>
        <v>158.09186628125002</v>
      </c>
      <c r="N4" s="249">
        <f>Assumptions!M42</f>
        <v>189.66326334531249</v>
      </c>
      <c r="O4" s="323">
        <f>Assumptions!N42</f>
        <v>219.08331088757811</v>
      </c>
      <c r="P4" s="250">
        <f>Assumptions!O42</f>
        <v>250.35565643195704</v>
      </c>
    </row>
    <row r="5" spans="1:16" x14ac:dyDescent="0.3">
      <c r="A5" s="130" t="s">
        <v>67</v>
      </c>
      <c r="C5" s="251">
        <v>0.05</v>
      </c>
      <c r="D5" s="252">
        <v>0.04</v>
      </c>
      <c r="E5" s="252">
        <v>0.04</v>
      </c>
      <c r="F5" s="252">
        <v>0.06</v>
      </c>
      <c r="G5" s="252">
        <v>0.04</v>
      </c>
      <c r="H5" s="252">
        <v>0.05</v>
      </c>
      <c r="I5" s="252">
        <v>0.06</v>
      </c>
      <c r="J5" s="252">
        <v>0.08</v>
      </c>
      <c r="K5" s="324">
        <v>0.1</v>
      </c>
      <c r="L5" s="335">
        <v>0.12</v>
      </c>
      <c r="M5" s="336">
        <v>0.15</v>
      </c>
      <c r="N5" s="335">
        <v>0.18</v>
      </c>
      <c r="O5" s="337">
        <v>0.2</v>
      </c>
      <c r="P5" s="338">
        <v>0.25</v>
      </c>
    </row>
    <row r="6" spans="1:16" x14ac:dyDescent="0.3">
      <c r="A6" s="220" t="s">
        <v>68</v>
      </c>
      <c r="B6" s="50"/>
      <c r="C6" s="57">
        <f>C4+C5</f>
        <v>8.5100000000000016</v>
      </c>
      <c r="D6" s="58">
        <f>D4+D5</f>
        <v>11.549999999999999</v>
      </c>
      <c r="E6" s="58">
        <f>E4+E5</f>
        <v>13.36</v>
      </c>
      <c r="F6" s="58">
        <f t="shared" ref="F6:K6" si="0">F4+F5</f>
        <v>21.63</v>
      </c>
      <c r="G6" s="58">
        <f t="shared" si="0"/>
        <v>34.24</v>
      </c>
      <c r="H6" s="58">
        <f t="shared" si="0"/>
        <v>56.514599999999994</v>
      </c>
      <c r="I6" s="58">
        <f t="shared" si="0"/>
        <v>75.053750000000008</v>
      </c>
      <c r="J6" s="58">
        <f t="shared" si="0"/>
        <v>94.301249999999996</v>
      </c>
      <c r="K6" s="59">
        <f t="shared" si="0"/>
        <v>113.27307499999999</v>
      </c>
      <c r="L6" s="58">
        <f>L4+L5</f>
        <v>132.34058812500001</v>
      </c>
      <c r="M6" s="57">
        <f>M4+M5</f>
        <v>158.24186628125003</v>
      </c>
      <c r="N6" s="58">
        <f>N4+N5</f>
        <v>189.84326334531249</v>
      </c>
      <c r="O6" s="59">
        <f>O4+O5</f>
        <v>219.2833108875781</v>
      </c>
      <c r="P6" s="83">
        <f>P4+P5</f>
        <v>250.60565643195704</v>
      </c>
    </row>
    <row r="7" spans="1:16" ht="4.05" customHeight="1" x14ac:dyDescent="0.3">
      <c r="A7" s="254"/>
      <c r="C7" s="255"/>
      <c r="D7" s="256"/>
      <c r="E7" s="256"/>
      <c r="F7" s="256"/>
      <c r="G7" s="256"/>
      <c r="H7" s="256"/>
      <c r="I7" s="256"/>
      <c r="J7" s="256"/>
      <c r="K7" s="325"/>
      <c r="L7" s="252"/>
      <c r="M7" s="251"/>
      <c r="N7" s="252"/>
      <c r="O7" s="324"/>
      <c r="P7" s="253"/>
    </row>
    <row r="8" spans="1:16" x14ac:dyDescent="0.3">
      <c r="A8" s="221" t="s">
        <v>69</v>
      </c>
      <c r="C8" s="255"/>
      <c r="D8" s="256"/>
      <c r="E8" s="256"/>
      <c r="F8" s="256"/>
      <c r="G8" s="256"/>
      <c r="H8" s="256"/>
      <c r="I8" s="256"/>
      <c r="J8" s="256"/>
      <c r="K8" s="325"/>
      <c r="L8" s="252"/>
      <c r="M8" s="251"/>
      <c r="N8" s="252"/>
      <c r="O8" s="324"/>
      <c r="P8" s="253"/>
    </row>
    <row r="9" spans="1:16" x14ac:dyDescent="0.3">
      <c r="A9" s="222" t="s">
        <v>70</v>
      </c>
      <c r="B9" s="247"/>
      <c r="C9" s="257">
        <v>1.1100000000000001</v>
      </c>
      <c r="D9" s="258">
        <v>1.08</v>
      </c>
      <c r="E9" s="258">
        <v>2.08</v>
      </c>
      <c r="F9" s="258">
        <v>3.82</v>
      </c>
      <c r="G9" s="258">
        <f>ROUND(G4*Assumptions!F47,2)</f>
        <v>5.64</v>
      </c>
      <c r="H9" s="258">
        <f>ROUND(H4*Assumptions!G47,2)</f>
        <v>7.34</v>
      </c>
      <c r="I9" s="258">
        <f>ROUND(I4*Assumptions!H47,2)</f>
        <v>9.3699999999999992</v>
      </c>
      <c r="J9" s="258">
        <f>ROUND(J4*Assumptions!I47,2)</f>
        <v>11.31</v>
      </c>
      <c r="K9" s="326">
        <f>ROUND(K4*Assumptions!J47,2)</f>
        <v>13.01</v>
      </c>
      <c r="L9" s="258">
        <f>ROUND(L4*Assumptions!K47,2)</f>
        <v>14.54</v>
      </c>
      <c r="M9" s="257">
        <f>ROUND(M4*Assumptions!L47,2)</f>
        <v>17.39</v>
      </c>
      <c r="N9" s="258">
        <f>ROUND(N4*Assumptions!M47,2)</f>
        <v>20.86</v>
      </c>
      <c r="O9" s="326">
        <f>ROUND(O4*Assumptions!N47,2)</f>
        <v>24.1</v>
      </c>
      <c r="P9" s="259">
        <f>ROUND(P4*Assumptions!O47,2)</f>
        <v>27.54</v>
      </c>
    </row>
    <row r="10" spans="1:16" x14ac:dyDescent="0.3">
      <c r="A10" s="130" t="s">
        <v>71</v>
      </c>
      <c r="C10" s="251">
        <v>3.47</v>
      </c>
      <c r="D10" s="252">
        <v>4.87</v>
      </c>
      <c r="E10" s="252">
        <v>4.22</v>
      </c>
      <c r="F10" s="252">
        <v>2.75</v>
      </c>
      <c r="G10" s="252">
        <f>ROUND(G4*Assumptions!F48,2)</f>
        <v>2.2200000000000002</v>
      </c>
      <c r="H10" s="252">
        <f>ROUND(H4*Assumptions!G48,2)</f>
        <v>3.39</v>
      </c>
      <c r="I10" s="252">
        <f>ROUND(I4*Assumptions!H48,2)</f>
        <v>4.87</v>
      </c>
      <c r="J10" s="252">
        <f>ROUND(J4*Assumptions!I48,2)</f>
        <v>6.6</v>
      </c>
      <c r="K10" s="324">
        <f>ROUND(K4*Assumptions!J48,2)</f>
        <v>8.49</v>
      </c>
      <c r="L10" s="335">
        <f>ROUND(L4*Assumptions!K48,2)</f>
        <v>10.58</v>
      </c>
      <c r="M10" s="336">
        <f>ROUND(M4*Assumptions!L48,2)</f>
        <v>12.65</v>
      </c>
      <c r="N10" s="335">
        <f>ROUND(N4*Assumptions!M48,2)</f>
        <v>15.17</v>
      </c>
      <c r="O10" s="337">
        <f>ROUND(O4*Assumptions!N48,2)</f>
        <v>17.53</v>
      </c>
      <c r="P10" s="338">
        <f>ROUND(P4*Assumptions!O48,2)</f>
        <v>20.03</v>
      </c>
    </row>
    <row r="11" spans="1:16" x14ac:dyDescent="0.3">
      <c r="A11" s="219" t="s">
        <v>72</v>
      </c>
      <c r="B11" s="51"/>
      <c r="C11" s="60">
        <f>C9+C10</f>
        <v>4.58</v>
      </c>
      <c r="D11" s="61">
        <f>D9+D10</f>
        <v>5.95</v>
      </c>
      <c r="E11" s="61">
        <f>E9+E10</f>
        <v>6.3</v>
      </c>
      <c r="F11" s="61">
        <f t="shared" ref="F11:K11" si="1">F9+F10</f>
        <v>6.57</v>
      </c>
      <c r="G11" s="61">
        <f t="shared" si="1"/>
        <v>7.8599999999999994</v>
      </c>
      <c r="H11" s="61">
        <f t="shared" si="1"/>
        <v>10.73</v>
      </c>
      <c r="I11" s="61">
        <f t="shared" si="1"/>
        <v>14.239999999999998</v>
      </c>
      <c r="J11" s="61">
        <f t="shared" si="1"/>
        <v>17.91</v>
      </c>
      <c r="K11" s="62">
        <f t="shared" si="1"/>
        <v>21.5</v>
      </c>
      <c r="L11" s="61">
        <f>L9+L10</f>
        <v>25.119999999999997</v>
      </c>
      <c r="M11" s="60">
        <f>M9+M10</f>
        <v>30.04</v>
      </c>
      <c r="N11" s="61">
        <f>N9+N10</f>
        <v>36.03</v>
      </c>
      <c r="O11" s="62">
        <f>O9+O10</f>
        <v>41.63</v>
      </c>
      <c r="P11" s="84">
        <f>P9+P10</f>
        <v>47.57</v>
      </c>
    </row>
    <row r="12" spans="1:16" x14ac:dyDescent="0.3">
      <c r="A12" s="131" t="s">
        <v>73</v>
      </c>
      <c r="B12" s="52"/>
      <c r="C12" s="63">
        <f>C6-C11</f>
        <v>3.9300000000000015</v>
      </c>
      <c r="D12" s="64">
        <f>D6-D11</f>
        <v>5.5999999999999988</v>
      </c>
      <c r="E12" s="64">
        <f>E6-E11</f>
        <v>7.06</v>
      </c>
      <c r="F12" s="64">
        <f t="shared" ref="F12:K12" si="2">F6-F11</f>
        <v>15.059999999999999</v>
      </c>
      <c r="G12" s="64">
        <f t="shared" si="2"/>
        <v>26.380000000000003</v>
      </c>
      <c r="H12" s="64">
        <f t="shared" si="2"/>
        <v>45.784599999999998</v>
      </c>
      <c r="I12" s="64">
        <f t="shared" si="2"/>
        <v>60.813750000000013</v>
      </c>
      <c r="J12" s="64">
        <f t="shared" si="2"/>
        <v>76.391249999999999</v>
      </c>
      <c r="K12" s="65">
        <f t="shared" si="2"/>
        <v>91.773074999999992</v>
      </c>
      <c r="L12" s="64">
        <f>L6-L11</f>
        <v>107.22058812500001</v>
      </c>
      <c r="M12" s="63">
        <f>M6-M11</f>
        <v>128.20186628125003</v>
      </c>
      <c r="N12" s="64">
        <f>N6-N11</f>
        <v>153.81326334531249</v>
      </c>
      <c r="O12" s="65">
        <f>O6-O11</f>
        <v>177.6533108875781</v>
      </c>
      <c r="P12" s="85">
        <f>P6-P11</f>
        <v>203.03565643195705</v>
      </c>
    </row>
    <row r="13" spans="1:16" x14ac:dyDescent="0.3">
      <c r="A13" s="130" t="s">
        <v>74</v>
      </c>
      <c r="C13" s="66">
        <f>C12/C6</f>
        <v>0.4618096357226793</v>
      </c>
      <c r="D13" s="67">
        <f>D12/D6</f>
        <v>0.48484848484848481</v>
      </c>
      <c r="E13" s="67">
        <f>E12/E6</f>
        <v>0.52844311377245512</v>
      </c>
      <c r="F13" s="67">
        <f t="shared" ref="F13:K13" si="3">F12/F6</f>
        <v>0.69625520110957007</v>
      </c>
      <c r="G13" s="67">
        <f t="shared" si="3"/>
        <v>0.77044392523364491</v>
      </c>
      <c r="H13" s="67">
        <f t="shared" si="3"/>
        <v>0.81013755737455462</v>
      </c>
      <c r="I13" s="67">
        <f t="shared" si="3"/>
        <v>0.81026930699665245</v>
      </c>
      <c r="J13" s="67">
        <f t="shared" si="3"/>
        <v>0.81007674871754087</v>
      </c>
      <c r="K13" s="68">
        <f t="shared" si="3"/>
        <v>0.81019319904575737</v>
      </c>
      <c r="L13" s="339">
        <f>L12/L6</f>
        <v>0.81018672838091554</v>
      </c>
      <c r="M13" s="340">
        <f>M12/M6</f>
        <v>0.81016401849932296</v>
      </c>
      <c r="N13" s="339">
        <f>N12/N6</f>
        <v>0.8102118591668761</v>
      </c>
      <c r="O13" s="341">
        <f>O12/O6</f>
        <v>0.81015427105921978</v>
      </c>
      <c r="P13" s="342">
        <f>P12/P6</f>
        <v>0.81017986314719947</v>
      </c>
    </row>
    <row r="14" spans="1:16" x14ac:dyDescent="0.3">
      <c r="A14" s="222" t="s">
        <v>75</v>
      </c>
      <c r="B14" s="247"/>
      <c r="C14" s="257">
        <v>0.51</v>
      </c>
      <c r="D14" s="258">
        <v>0.84</v>
      </c>
      <c r="E14" s="258">
        <v>1.42</v>
      </c>
      <c r="F14" s="258">
        <v>2.9</v>
      </c>
      <c r="G14" s="258">
        <f>Assumptions!F49</f>
        <v>2.5</v>
      </c>
      <c r="H14" s="258">
        <f>Assumptions!G49</f>
        <v>2.14</v>
      </c>
      <c r="I14" s="258">
        <f>Assumptions!H49</f>
        <v>3.42</v>
      </c>
      <c r="J14" s="258">
        <f>Assumptions!I49</f>
        <v>5.25</v>
      </c>
      <c r="K14" s="326">
        <f>Assumptions!J49</f>
        <v>7.72</v>
      </c>
      <c r="L14" s="258">
        <f>Assumptions!K49</f>
        <v>10.35</v>
      </c>
      <c r="M14" s="257">
        <f>Assumptions!L49</f>
        <v>13.53</v>
      </c>
      <c r="N14" s="258">
        <f>Assumptions!M49</f>
        <v>17.03</v>
      </c>
      <c r="O14" s="326">
        <f>Assumptions!N49</f>
        <v>21.33</v>
      </c>
      <c r="P14" s="259">
        <f>Assumptions!O49</f>
        <v>26.21</v>
      </c>
    </row>
    <row r="15" spans="1:16" x14ac:dyDescent="0.3">
      <c r="A15" s="130" t="s">
        <v>76</v>
      </c>
      <c r="C15" s="251">
        <v>0.04</v>
      </c>
      <c r="D15" s="252">
        <v>0.03</v>
      </c>
      <c r="E15" s="252">
        <v>0.06</v>
      </c>
      <c r="F15" s="252">
        <v>0.08</v>
      </c>
      <c r="G15" s="252">
        <v>0.02</v>
      </c>
      <c r="H15" s="252">
        <v>0.03</v>
      </c>
      <c r="I15" s="252">
        <v>0.05</v>
      </c>
      <c r="J15" s="252">
        <v>7.0000000000000007E-2</v>
      </c>
      <c r="K15" s="252">
        <v>0.09</v>
      </c>
      <c r="L15" s="252">
        <v>0.11</v>
      </c>
      <c r="M15" s="252">
        <v>0.13</v>
      </c>
      <c r="N15" s="252">
        <v>0.15</v>
      </c>
      <c r="O15" s="252">
        <v>0.17</v>
      </c>
      <c r="P15" s="518">
        <v>0.19</v>
      </c>
    </row>
    <row r="16" spans="1:16" x14ac:dyDescent="0.3">
      <c r="A16" s="130" t="s">
        <v>77</v>
      </c>
      <c r="C16" s="251">
        <v>0.03</v>
      </c>
      <c r="D16" s="252">
        <v>0.08</v>
      </c>
      <c r="E16" s="252">
        <v>0</v>
      </c>
      <c r="F16" s="252">
        <v>0.2</v>
      </c>
      <c r="G16" s="252">
        <f>ROUND(Assumptions!F54*Assumptions!F57,2)</f>
        <v>0.38</v>
      </c>
      <c r="H16" s="252">
        <f>ROUND(Assumptions!G54*Assumptions!G57,2)</f>
        <v>0.61</v>
      </c>
      <c r="I16" s="252">
        <f>ROUND(Assumptions!H54*Assumptions!H57,2)</f>
        <v>0.93</v>
      </c>
      <c r="J16" s="252">
        <f>ROUND(Assumptions!I54*Assumptions!I57,2)</f>
        <v>1.23</v>
      </c>
      <c r="K16" s="324">
        <f>ROUND(Assumptions!J54*Assumptions!J57,2)</f>
        <v>1.55</v>
      </c>
      <c r="L16" s="335">
        <f>ROUND(Assumptions!K54*Assumptions!K57,2)</f>
        <v>1.85</v>
      </c>
      <c r="M16" s="336">
        <f>ROUND(Assumptions!L54*Assumptions!L57,2)</f>
        <v>2.15</v>
      </c>
      <c r="N16" s="335">
        <f>ROUND(Assumptions!M54*Assumptions!M57,2)</f>
        <v>2.65</v>
      </c>
      <c r="O16" s="337">
        <f>ROUND(Assumptions!N54*Assumptions!N57,2)</f>
        <v>3.2</v>
      </c>
      <c r="P16" s="338">
        <f>ROUND(Assumptions!O54*Assumptions!O57,2)</f>
        <v>3.75</v>
      </c>
    </row>
    <row r="17" spans="1:16" x14ac:dyDescent="0.3">
      <c r="A17" s="223" t="s">
        <v>78</v>
      </c>
      <c r="B17" s="53"/>
      <c r="C17" s="69">
        <f>C12-C14-C15-C16</f>
        <v>3.3500000000000019</v>
      </c>
      <c r="D17" s="70">
        <f>D12-D14-D15-D16</f>
        <v>4.6499999999999986</v>
      </c>
      <c r="E17" s="70">
        <f>E12-E14-E15-E16</f>
        <v>5.58</v>
      </c>
      <c r="F17" s="70">
        <f t="shared" ref="F17:K17" si="4">F12-F14-F15-F16</f>
        <v>11.879999999999999</v>
      </c>
      <c r="G17" s="70">
        <f t="shared" si="4"/>
        <v>23.480000000000004</v>
      </c>
      <c r="H17" s="70">
        <f t="shared" si="4"/>
        <v>43.004599999999996</v>
      </c>
      <c r="I17" s="70">
        <f t="shared" si="4"/>
        <v>56.413750000000014</v>
      </c>
      <c r="J17" s="70">
        <f t="shared" si="4"/>
        <v>69.841250000000002</v>
      </c>
      <c r="K17" s="71">
        <f t="shared" si="4"/>
        <v>82.413074999999992</v>
      </c>
      <c r="L17" s="70">
        <f>L12-L14-L15-L16</f>
        <v>94.910588125000018</v>
      </c>
      <c r="M17" s="69">
        <f>M12-M14-M15-M16</f>
        <v>112.39186628125003</v>
      </c>
      <c r="N17" s="70">
        <f>N12-N14-N15-N16</f>
        <v>133.98326334531248</v>
      </c>
      <c r="O17" s="71">
        <f>O12-O14-O15-O16</f>
        <v>152.95331088757811</v>
      </c>
      <c r="P17" s="86">
        <f>P12-P14-P15-P16</f>
        <v>172.88565643195705</v>
      </c>
    </row>
    <row r="18" spans="1:16" ht="15" thickBot="1" x14ac:dyDescent="0.35">
      <c r="A18" s="222" t="s">
        <v>79</v>
      </c>
      <c r="B18" s="247"/>
      <c r="C18" s="257">
        <v>0.87</v>
      </c>
      <c r="D18" s="258">
        <v>1.19</v>
      </c>
      <c r="E18" s="258">
        <v>1.4</v>
      </c>
      <c r="F18" s="258">
        <v>3.2</v>
      </c>
      <c r="G18" s="258">
        <f>ROUND(G17*Assumptions!F51,2)</f>
        <v>5.92</v>
      </c>
      <c r="H18" s="258">
        <f>ROUND(H17*Assumptions!G51,2)</f>
        <v>10.84</v>
      </c>
      <c r="I18" s="258">
        <f>ROUND(I17*Assumptions!H51,2)</f>
        <v>14.22</v>
      </c>
      <c r="J18" s="258">
        <f>ROUND(J17*Assumptions!I51,2)</f>
        <v>17.600000000000001</v>
      </c>
      <c r="K18" s="326">
        <f>ROUND(K17*Assumptions!J51,2)</f>
        <v>20.77</v>
      </c>
      <c r="L18" s="258">
        <f>ROUND(L17*Assumptions!K51,2)</f>
        <v>23.92</v>
      </c>
      <c r="M18" s="257">
        <f>ROUND(M17*Assumptions!L51,2)</f>
        <v>28.32</v>
      </c>
      <c r="N18" s="258">
        <f>ROUND(N17*Assumptions!M51,2)</f>
        <v>33.76</v>
      </c>
      <c r="O18" s="326">
        <f>ROUND(O17*Assumptions!N51,2)</f>
        <v>38.54</v>
      </c>
      <c r="P18" s="259">
        <f>ROUND(P17*Assumptions!O51,2)</f>
        <v>43.57</v>
      </c>
    </row>
    <row r="19" spans="1:16" ht="15" thickBot="1" x14ac:dyDescent="0.35">
      <c r="A19" s="224" t="s">
        <v>80</v>
      </c>
      <c r="B19" s="54"/>
      <c r="C19" s="72">
        <f>C17-C18</f>
        <v>2.4800000000000018</v>
      </c>
      <c r="D19" s="73">
        <f>D17-D18</f>
        <v>3.4599999999999986</v>
      </c>
      <c r="E19" s="73">
        <f>E17-E18</f>
        <v>4.18</v>
      </c>
      <c r="F19" s="73">
        <f t="shared" ref="F19:K19" si="5">F17-F18</f>
        <v>8.68</v>
      </c>
      <c r="G19" s="73">
        <f t="shared" si="5"/>
        <v>17.560000000000002</v>
      </c>
      <c r="H19" s="73">
        <f t="shared" si="5"/>
        <v>32.164599999999993</v>
      </c>
      <c r="I19" s="73">
        <f t="shared" si="5"/>
        <v>42.193750000000016</v>
      </c>
      <c r="J19" s="73">
        <f t="shared" si="5"/>
        <v>52.241250000000001</v>
      </c>
      <c r="K19" s="74">
        <f t="shared" si="5"/>
        <v>61.643074999999996</v>
      </c>
      <c r="L19" s="73">
        <f>L17-L18</f>
        <v>70.990588125000016</v>
      </c>
      <c r="M19" s="72">
        <f>M17-M18</f>
        <v>84.071866281250038</v>
      </c>
      <c r="N19" s="73">
        <f>N17-N18</f>
        <v>100.22326334531249</v>
      </c>
      <c r="O19" s="74">
        <f>O17-O18</f>
        <v>114.41331088757812</v>
      </c>
      <c r="P19" s="87">
        <f>P17-P18</f>
        <v>129.31565643195705</v>
      </c>
    </row>
    <row r="20" spans="1:16" ht="4.05" customHeight="1" thickTop="1" x14ac:dyDescent="0.3">
      <c r="A20" s="254"/>
      <c r="C20" s="255"/>
      <c r="D20" s="256"/>
      <c r="E20" s="256"/>
      <c r="F20" s="256"/>
      <c r="G20" s="256"/>
      <c r="H20" s="256"/>
      <c r="I20" s="256"/>
      <c r="J20" s="256"/>
      <c r="K20" s="325"/>
      <c r="L20" s="332"/>
      <c r="M20" s="331"/>
      <c r="N20" s="332"/>
      <c r="O20" s="333"/>
      <c r="P20" s="334"/>
    </row>
    <row r="21" spans="1:16" x14ac:dyDescent="0.3">
      <c r="A21" s="81" t="s">
        <v>81</v>
      </c>
      <c r="B21" s="55"/>
      <c r="C21" s="75"/>
      <c r="D21" s="76"/>
      <c r="E21" s="76"/>
      <c r="F21" s="76"/>
      <c r="G21" s="76"/>
      <c r="H21" s="76"/>
      <c r="I21" s="76"/>
      <c r="J21" s="76"/>
      <c r="K21" s="77"/>
      <c r="L21" s="343"/>
      <c r="M21" s="344"/>
      <c r="N21" s="343"/>
      <c r="O21" s="345"/>
      <c r="P21" s="346"/>
    </row>
    <row r="22" spans="1:16" x14ac:dyDescent="0.3">
      <c r="A22" s="222" t="s">
        <v>82</v>
      </c>
      <c r="B22" s="247"/>
      <c r="C22" s="260">
        <f t="shared" ref="C22:K22" si="6">C19/C6</f>
        <v>0.29142185663924808</v>
      </c>
      <c r="D22" s="261">
        <f t="shared" si="6"/>
        <v>0.29956709956709948</v>
      </c>
      <c r="E22" s="261">
        <f t="shared" si="6"/>
        <v>0.31287425149700598</v>
      </c>
      <c r="F22" s="261">
        <f t="shared" si="6"/>
        <v>0.40129449838187703</v>
      </c>
      <c r="G22" s="261">
        <f t="shared" si="6"/>
        <v>0.51285046728971961</v>
      </c>
      <c r="H22" s="261">
        <f t="shared" si="6"/>
        <v>0.56913788649304775</v>
      </c>
      <c r="I22" s="261">
        <f t="shared" si="6"/>
        <v>0.56218043735323031</v>
      </c>
      <c r="J22" s="261">
        <f t="shared" si="6"/>
        <v>0.55398258241539744</v>
      </c>
      <c r="K22" s="327">
        <f t="shared" si="6"/>
        <v>0.54419883101081168</v>
      </c>
      <c r="L22" s="261">
        <f>L19/L6</f>
        <v>0.53642339913093851</v>
      </c>
      <c r="M22" s="260">
        <f>M19/M6</f>
        <v>0.53128712556906732</v>
      </c>
      <c r="N22" s="261">
        <f>N19/N6</f>
        <v>0.52792636187997322</v>
      </c>
      <c r="O22" s="327">
        <f>O19/O6</f>
        <v>0.52176023074658606</v>
      </c>
      <c r="P22" s="262">
        <f>P19/P6</f>
        <v>0.51601252051973567</v>
      </c>
    </row>
    <row r="23" spans="1:16" x14ac:dyDescent="0.3">
      <c r="A23" s="130" t="s">
        <v>83</v>
      </c>
      <c r="C23" s="263">
        <f>C19/2.88</f>
        <v>0.86111111111111172</v>
      </c>
      <c r="D23" s="264">
        <f>D19/2.88</f>
        <v>1.2013888888888884</v>
      </c>
      <c r="E23" s="264">
        <f>E19/3.38</f>
        <v>1.2366863905325443</v>
      </c>
      <c r="F23" s="264">
        <f>F19/3.45</f>
        <v>2.5159420289855072</v>
      </c>
      <c r="G23" s="264">
        <f>G19/Assumptions!F56</f>
        <v>5.0898550724637683</v>
      </c>
      <c r="H23" s="264">
        <f>H19/Assumptions!G56</f>
        <v>9.3230724637681135</v>
      </c>
      <c r="I23" s="264">
        <f>I19/Assumptions!H56</f>
        <v>12.230072463768121</v>
      </c>
      <c r="J23" s="264">
        <f>J19/Assumptions!I56</f>
        <v>15.142391304347825</v>
      </c>
      <c r="K23" s="328">
        <f>K19/Assumptions!J56</f>
        <v>17.867557971014492</v>
      </c>
      <c r="L23" s="347">
        <f>L19/Assumptions!K56</f>
        <v>20.576982065217393</v>
      </c>
      <c r="M23" s="348">
        <f>M19/Assumptions!L56</f>
        <v>24.368656893115951</v>
      </c>
      <c r="N23" s="347">
        <f>N19/Assumptions!M56</f>
        <v>29.050221259510867</v>
      </c>
      <c r="O23" s="349">
        <f>O19/Assumptions!N56</f>
        <v>33.163278518138583</v>
      </c>
      <c r="P23" s="350">
        <f>P19/Assumptions!O56</f>
        <v>37.482798965784653</v>
      </c>
    </row>
    <row r="24" spans="1:16" ht="15" thickBot="1" x14ac:dyDescent="0.35">
      <c r="A24" s="132" t="s">
        <v>84</v>
      </c>
      <c r="B24" s="265"/>
      <c r="C24" s="266"/>
      <c r="D24" s="267">
        <f t="shared" ref="D24:K24" si="7">IF(C19&gt;0,(D19-C19)/C19,"")</f>
        <v>0.39516129032257913</v>
      </c>
      <c r="E24" s="267">
        <f t="shared" si="7"/>
        <v>0.20809248554913334</v>
      </c>
      <c r="F24" s="267">
        <f t="shared" si="7"/>
        <v>1.0765550239234452</v>
      </c>
      <c r="G24" s="267">
        <f t="shared" si="7"/>
        <v>1.0230414746543781</v>
      </c>
      <c r="H24" s="267">
        <f t="shared" si="7"/>
        <v>0.83169703872437295</v>
      </c>
      <c r="I24" s="267">
        <f t="shared" si="7"/>
        <v>0.31180707983310924</v>
      </c>
      <c r="J24" s="267">
        <f t="shared" si="7"/>
        <v>0.23812768478743845</v>
      </c>
      <c r="K24" s="329">
        <f t="shared" si="7"/>
        <v>0.17996937286148387</v>
      </c>
      <c r="L24" s="351">
        <f>IF(K19&gt;0,(L19-K19)/K19,"")</f>
        <v>0.15163930619943961</v>
      </c>
      <c r="M24" s="352">
        <f>IF(L19&gt;0,(M19-L19)/L19,"")</f>
        <v>0.18426778114891154</v>
      </c>
      <c r="N24" s="351">
        <f>IF(M19&gt;0,(N19-M19)/M19,"")</f>
        <v>0.19211417301039008</v>
      </c>
      <c r="O24" s="353">
        <f>IF(N19&gt;0,(O19-N19)/N19,"")</f>
        <v>0.14158436942304284</v>
      </c>
      <c r="P24" s="354">
        <f>IF(O19&gt;0,(P19-O19)/O19,"")</f>
        <v>0.13025010314596955</v>
      </c>
    </row>
  </sheetData>
  <mergeCells count="1">
    <mergeCell ref="A1:P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BBCF-3677-45BD-BC43-7535A83937E3}">
  <sheetPr>
    <tabColor rgb="FF4472C4"/>
  </sheetPr>
  <dimension ref="A1:P28"/>
  <sheetViews>
    <sheetView workbookViewId="0">
      <pane ySplit="3" topLeftCell="A4" activePane="bottomLeft" state="frozen"/>
      <selection pane="bottomLeft" sqref="A1:P1"/>
    </sheetView>
  </sheetViews>
  <sheetFormatPr defaultRowHeight="14.4" x14ac:dyDescent="0.3"/>
  <cols>
    <col min="1" max="1" width="46.33203125" customWidth="1"/>
    <col min="2" max="2" width="2.77734375" customWidth="1"/>
    <col min="3" max="16" width="16.6640625" customWidth="1"/>
  </cols>
  <sheetData>
    <row r="1" spans="1:16" ht="30" customHeight="1" x14ac:dyDescent="0.35">
      <c r="A1" s="542" t="s">
        <v>85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</row>
    <row r="2" spans="1:16" ht="18" customHeight="1" thickBot="1" x14ac:dyDescent="0.35">
      <c r="A2" s="6" t="s">
        <v>62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6" ht="22.05" customHeight="1" x14ac:dyDescent="0.3">
      <c r="A3" s="99" t="s">
        <v>86</v>
      </c>
      <c r="B3" s="98"/>
      <c r="C3" s="78" t="s">
        <v>64</v>
      </c>
      <c r="D3" s="78" t="s">
        <v>3</v>
      </c>
      <c r="E3" s="78" t="s">
        <v>4</v>
      </c>
      <c r="F3" s="78" t="s">
        <v>5</v>
      </c>
      <c r="G3" s="79" t="s">
        <v>6</v>
      </c>
      <c r="H3" s="79" t="s">
        <v>7</v>
      </c>
      <c r="I3" s="79" t="s">
        <v>8</v>
      </c>
      <c r="J3" s="79" t="s">
        <v>9</v>
      </c>
      <c r="K3" s="79" t="s">
        <v>65</v>
      </c>
      <c r="L3" s="79" t="s">
        <v>236</v>
      </c>
      <c r="M3" s="79" t="s">
        <v>237</v>
      </c>
      <c r="N3" s="79" t="s">
        <v>238</v>
      </c>
      <c r="O3" s="79" t="s">
        <v>239</v>
      </c>
      <c r="P3" s="82" t="s">
        <v>240</v>
      </c>
    </row>
    <row r="4" spans="1:16" x14ac:dyDescent="0.3">
      <c r="A4" s="130" t="s">
        <v>87</v>
      </c>
      <c r="C4" s="268">
        <v>1.98</v>
      </c>
      <c r="D4" s="269">
        <v>6.55</v>
      </c>
      <c r="E4" s="269">
        <v>2.97</v>
      </c>
      <c r="F4" s="269">
        <v>17.55</v>
      </c>
      <c r="G4" s="269">
        <f t="shared" ref="G4:P4" si="0">G17-G5-G6-G7-G8</f>
        <v>25.426000000000016</v>
      </c>
      <c r="H4" s="269">
        <f t="shared" si="0"/>
        <v>33.123099999999987</v>
      </c>
      <c r="I4" s="269">
        <f t="shared" si="0"/>
        <v>46.276850000000024</v>
      </c>
      <c r="J4" s="269">
        <f t="shared" si="0"/>
        <v>65.545600000000022</v>
      </c>
      <c r="K4" s="330">
        <f t="shared" si="0"/>
        <v>92.891175000000004</v>
      </c>
      <c r="L4" s="358">
        <f t="shared" si="0"/>
        <v>137.80926312500006</v>
      </c>
      <c r="M4" s="359">
        <f t="shared" si="0"/>
        <v>201.71362940625013</v>
      </c>
      <c r="N4" s="358">
        <f t="shared" si="0"/>
        <v>249.50439275156248</v>
      </c>
      <c r="O4" s="360">
        <f t="shared" si="0"/>
        <v>314.28770363914066</v>
      </c>
      <c r="P4" s="361">
        <f t="shared" si="0"/>
        <v>387.6183600710977</v>
      </c>
    </row>
    <row r="5" spans="1:16" x14ac:dyDescent="0.3">
      <c r="A5" s="130" t="s">
        <v>88</v>
      </c>
      <c r="C5" s="251">
        <v>42.01</v>
      </c>
      <c r="D5" s="252">
        <v>44.28</v>
      </c>
      <c r="E5" s="252">
        <v>55.04</v>
      </c>
      <c r="F5" s="252">
        <v>80.69</v>
      </c>
      <c r="G5" s="252">
        <f>Assumptions!F54</f>
        <v>95</v>
      </c>
      <c r="H5" s="252">
        <f>Assumptions!G54</f>
        <v>135</v>
      </c>
      <c r="I5" s="252">
        <f>Assumptions!H54</f>
        <v>185</v>
      </c>
      <c r="J5" s="252">
        <f>Assumptions!I54</f>
        <v>245</v>
      </c>
      <c r="K5" s="324">
        <f>Assumptions!J54</f>
        <v>310</v>
      </c>
      <c r="L5" s="335">
        <f>Assumptions!K54</f>
        <v>370</v>
      </c>
      <c r="M5" s="336">
        <f>Assumptions!L54</f>
        <v>430</v>
      </c>
      <c r="N5" s="335">
        <f>Assumptions!M54</f>
        <v>530</v>
      </c>
      <c r="O5" s="337">
        <f>Assumptions!N54</f>
        <v>640</v>
      </c>
      <c r="P5" s="338">
        <f>Assumptions!O54</f>
        <v>750</v>
      </c>
    </row>
    <row r="6" spans="1:16" x14ac:dyDescent="0.3">
      <c r="A6" s="130" t="s">
        <v>89</v>
      </c>
      <c r="C6" s="251">
        <v>0.3</v>
      </c>
      <c r="D6" s="252">
        <v>0.47</v>
      </c>
      <c r="E6" s="252">
        <v>0.05</v>
      </c>
      <c r="F6" s="252">
        <v>0</v>
      </c>
      <c r="G6" s="252">
        <v>1</v>
      </c>
      <c r="H6" s="252">
        <v>1.5</v>
      </c>
      <c r="I6" s="252">
        <v>2</v>
      </c>
      <c r="J6" s="252">
        <v>2.5</v>
      </c>
      <c r="K6" s="324">
        <v>3</v>
      </c>
      <c r="L6" s="335">
        <v>3.5</v>
      </c>
      <c r="M6" s="336">
        <v>4</v>
      </c>
      <c r="N6" s="335">
        <v>5</v>
      </c>
      <c r="O6" s="337">
        <v>6</v>
      </c>
      <c r="P6" s="338">
        <v>7</v>
      </c>
    </row>
    <row r="7" spans="1:16" x14ac:dyDescent="0.3">
      <c r="A7" s="130" t="s">
        <v>90</v>
      </c>
      <c r="C7" s="251">
        <v>0.28000000000000003</v>
      </c>
      <c r="D7" s="252">
        <v>0.26</v>
      </c>
      <c r="E7" s="252">
        <v>0.5</v>
      </c>
      <c r="F7" s="252">
        <v>0.68</v>
      </c>
      <c r="G7" s="252">
        <v>0.75</v>
      </c>
      <c r="H7" s="252">
        <v>0.85</v>
      </c>
      <c r="I7" s="252">
        <v>1</v>
      </c>
      <c r="J7" s="252">
        <v>1.2</v>
      </c>
      <c r="K7" s="324">
        <v>1.4</v>
      </c>
      <c r="L7" s="335">
        <v>1.6</v>
      </c>
      <c r="M7" s="336">
        <v>1.85</v>
      </c>
      <c r="N7" s="335">
        <v>2.1</v>
      </c>
      <c r="O7" s="337">
        <v>2.4</v>
      </c>
      <c r="P7" s="338">
        <v>2.7</v>
      </c>
    </row>
    <row r="8" spans="1:16" ht="15" thickBot="1" x14ac:dyDescent="0.35">
      <c r="A8" s="130" t="s">
        <v>91</v>
      </c>
      <c r="C8" s="251">
        <v>1.28</v>
      </c>
      <c r="D8" s="252">
        <v>1.29</v>
      </c>
      <c r="E8" s="252">
        <v>6.31</v>
      </c>
      <c r="F8" s="252">
        <v>6.8</v>
      </c>
      <c r="G8" s="252">
        <v>7.5</v>
      </c>
      <c r="H8" s="252">
        <v>8.5</v>
      </c>
      <c r="I8" s="252">
        <v>9.5</v>
      </c>
      <c r="J8" s="252">
        <v>11</v>
      </c>
      <c r="K8" s="324">
        <v>12.5</v>
      </c>
      <c r="L8" s="335">
        <v>14</v>
      </c>
      <c r="M8" s="336">
        <v>16</v>
      </c>
      <c r="N8" s="335">
        <v>18</v>
      </c>
      <c r="O8" s="337">
        <v>20</v>
      </c>
      <c r="P8" s="338">
        <v>22</v>
      </c>
    </row>
    <row r="9" spans="1:16" ht="15" thickBot="1" x14ac:dyDescent="0.35">
      <c r="A9" s="225" t="s">
        <v>92</v>
      </c>
      <c r="B9" s="89"/>
      <c r="C9" s="57">
        <f>SUM(C4:C8)</f>
        <v>45.849999999999994</v>
      </c>
      <c r="D9" s="58">
        <f>SUM(D4:D8)</f>
        <v>52.849999999999994</v>
      </c>
      <c r="E9" s="58">
        <f>SUM(E4:E8)</f>
        <v>64.86999999999999</v>
      </c>
      <c r="F9" s="58">
        <f t="shared" ref="F9:K9" si="1">SUM(F4:F8)</f>
        <v>105.72</v>
      </c>
      <c r="G9" s="58">
        <f t="shared" si="1"/>
        <v>129.67600000000002</v>
      </c>
      <c r="H9" s="58">
        <f t="shared" si="1"/>
        <v>178.97309999999999</v>
      </c>
      <c r="I9" s="58">
        <f t="shared" si="1"/>
        <v>243.77685000000002</v>
      </c>
      <c r="J9" s="58">
        <f t="shared" si="1"/>
        <v>325.24560000000002</v>
      </c>
      <c r="K9" s="59">
        <f t="shared" si="1"/>
        <v>419.79117499999995</v>
      </c>
      <c r="L9" s="58">
        <f>SUM(L4:L8)</f>
        <v>526.90926312500005</v>
      </c>
      <c r="M9" s="57">
        <f>SUM(M4:M8)</f>
        <v>653.56362940625013</v>
      </c>
      <c r="N9" s="58">
        <f>SUM(N4:N8)</f>
        <v>804.6043927515625</v>
      </c>
      <c r="O9" s="59">
        <f>SUM(O4:O8)</f>
        <v>982.68770363914064</v>
      </c>
      <c r="P9" s="83">
        <f>SUM(P4:P8)</f>
        <v>1169.3183600710977</v>
      </c>
    </row>
    <row r="10" spans="1:16" ht="4.05" customHeight="1" x14ac:dyDescent="0.3">
      <c r="A10" s="254"/>
      <c r="C10" s="255"/>
      <c r="D10" s="256"/>
      <c r="E10" s="256"/>
      <c r="F10" s="256"/>
      <c r="G10" s="256"/>
      <c r="H10" s="256"/>
      <c r="I10" s="256"/>
      <c r="J10" s="256"/>
      <c r="K10" s="325"/>
      <c r="L10" s="335"/>
      <c r="M10" s="336"/>
      <c r="N10" s="335"/>
      <c r="O10" s="337"/>
      <c r="P10" s="338"/>
    </row>
    <row r="11" spans="1:16" ht="22.05" customHeight="1" x14ac:dyDescent="0.3">
      <c r="A11" s="100" t="s">
        <v>93</v>
      </c>
      <c r="B11" s="9"/>
      <c r="C11" s="92"/>
      <c r="D11" s="93"/>
      <c r="E11" s="93"/>
      <c r="F11" s="93"/>
      <c r="G11" s="93"/>
      <c r="H11" s="93"/>
      <c r="I11" s="93"/>
      <c r="J11" s="93"/>
      <c r="K11" s="94"/>
      <c r="L11" s="362"/>
      <c r="M11" s="363"/>
      <c r="N11" s="362"/>
      <c r="O11" s="364"/>
      <c r="P11" s="365"/>
    </row>
    <row r="12" spans="1:16" x14ac:dyDescent="0.3">
      <c r="A12" s="130" t="s">
        <v>94</v>
      </c>
      <c r="C12" s="251">
        <v>29.04</v>
      </c>
      <c r="D12" s="252">
        <v>30.14</v>
      </c>
      <c r="E12" s="252">
        <v>30.14</v>
      </c>
      <c r="F12" s="252">
        <v>34.54</v>
      </c>
      <c r="G12" s="252">
        <f>Assumptions!F55</f>
        <v>34.54</v>
      </c>
      <c r="H12" s="252">
        <f>Assumptions!G55</f>
        <v>34.54</v>
      </c>
      <c r="I12" s="252">
        <f>Assumptions!H55</f>
        <v>34.54</v>
      </c>
      <c r="J12" s="252">
        <f>Assumptions!I55</f>
        <v>34.54</v>
      </c>
      <c r="K12" s="324">
        <f>Assumptions!J55</f>
        <v>34.54</v>
      </c>
      <c r="L12" s="335">
        <f>Assumptions!K55</f>
        <v>34.54</v>
      </c>
      <c r="M12" s="336">
        <f>Assumptions!L55</f>
        <v>34.54</v>
      </c>
      <c r="N12" s="335">
        <f>Assumptions!M55</f>
        <v>34.54</v>
      </c>
      <c r="O12" s="337">
        <f>Assumptions!N55</f>
        <v>34.54</v>
      </c>
      <c r="P12" s="338">
        <f>Assumptions!O55</f>
        <v>34.54</v>
      </c>
    </row>
    <row r="13" spans="1:16" x14ac:dyDescent="0.3">
      <c r="A13" s="130" t="s">
        <v>95</v>
      </c>
      <c r="C13" s="251">
        <v>8.82</v>
      </c>
      <c r="D13" s="252">
        <v>13.29</v>
      </c>
      <c r="E13" s="252">
        <v>16.739999999999998</v>
      </c>
      <c r="F13" s="252">
        <v>49.99</v>
      </c>
      <c r="G13" s="252">
        <f>F13+'Income Statement'!G19-G28</f>
        <v>67.13600000000001</v>
      </c>
      <c r="H13" s="252">
        <f>G13+'Income Statement'!H19-H28</f>
        <v>98.783100000000005</v>
      </c>
      <c r="I13" s="252">
        <f>H13+'Income Statement'!I19-I28</f>
        <v>140.28685000000002</v>
      </c>
      <c r="J13" s="252">
        <f>I13+'Income Statement'!J19-J28</f>
        <v>191.66560000000001</v>
      </c>
      <c r="K13" s="324">
        <f>J13+'Income Statement'!K19-K28</f>
        <v>252.10117499999998</v>
      </c>
      <c r="L13" s="335">
        <f>K13+'Income Statement'!L19-L28</f>
        <v>321.53926312499999</v>
      </c>
      <c r="M13" s="336">
        <f>L13+'Income Statement'!M19-M28</f>
        <v>403.71362940625005</v>
      </c>
      <c r="N13" s="335">
        <f>M13+'Income Statement'!N19-N28</f>
        <v>501.69439275156253</v>
      </c>
      <c r="O13" s="337">
        <f>N13+'Income Statement'!O19-O28</f>
        <v>612.65770363914066</v>
      </c>
      <c r="P13" s="338">
        <f>O13+'Income Statement'!P19-P28</f>
        <v>736.7983600710977</v>
      </c>
    </row>
    <row r="14" spans="1:16" x14ac:dyDescent="0.3">
      <c r="A14" s="131" t="s">
        <v>96</v>
      </c>
      <c r="B14" s="52"/>
      <c r="C14" s="63">
        <f>C12+C13</f>
        <v>37.86</v>
      </c>
      <c r="D14" s="64">
        <f>D12+D13</f>
        <v>43.43</v>
      </c>
      <c r="E14" s="64">
        <f>E12+E13</f>
        <v>46.879999999999995</v>
      </c>
      <c r="F14" s="64">
        <f t="shared" ref="F14:K14" si="2">F12+F13</f>
        <v>84.53</v>
      </c>
      <c r="G14" s="64">
        <f t="shared" si="2"/>
        <v>101.67600000000002</v>
      </c>
      <c r="H14" s="64">
        <f t="shared" si="2"/>
        <v>133.32310000000001</v>
      </c>
      <c r="I14" s="64">
        <f t="shared" si="2"/>
        <v>174.82685000000001</v>
      </c>
      <c r="J14" s="64">
        <f t="shared" si="2"/>
        <v>226.2056</v>
      </c>
      <c r="K14" s="65">
        <f t="shared" si="2"/>
        <v>286.64117499999998</v>
      </c>
      <c r="L14" s="64">
        <f>L12+L13</f>
        <v>356.07926312500001</v>
      </c>
      <c r="M14" s="63">
        <f>M12+M13</f>
        <v>438.25362940625007</v>
      </c>
      <c r="N14" s="64">
        <f>N12+N13</f>
        <v>536.2343927515625</v>
      </c>
      <c r="O14" s="65">
        <f>O12+O13</f>
        <v>647.19770363914063</v>
      </c>
      <c r="P14" s="85">
        <f>P12+P13</f>
        <v>771.33836007109767</v>
      </c>
    </row>
    <row r="15" spans="1:16" x14ac:dyDescent="0.3">
      <c r="A15" s="130" t="s">
        <v>97</v>
      </c>
      <c r="C15" s="251">
        <v>4.8499999999999996</v>
      </c>
      <c r="D15" s="252">
        <v>4.28</v>
      </c>
      <c r="E15" s="252">
        <v>14.53</v>
      </c>
      <c r="F15" s="252">
        <v>15.6</v>
      </c>
      <c r="G15" s="252">
        <f>ROUND(G14*Assumptions!F58,2)</f>
        <v>20.34</v>
      </c>
      <c r="H15" s="252">
        <f>ROUND(H14*Assumptions!G58,2)</f>
        <v>33.33</v>
      </c>
      <c r="I15" s="252">
        <f>ROUND(I14*Assumptions!H58,2)</f>
        <v>52.45</v>
      </c>
      <c r="J15" s="252">
        <f>ROUND(J14*Assumptions!I58,2)</f>
        <v>79.17</v>
      </c>
      <c r="K15" s="324">
        <f>ROUND(K14*Assumptions!J58,2)</f>
        <v>108.92</v>
      </c>
      <c r="L15" s="335">
        <f>ROUND(L14*Assumptions!K58,2)</f>
        <v>142.43</v>
      </c>
      <c r="M15" s="336">
        <f>ROUND(M14*Assumptions!L58,2)</f>
        <v>184.07</v>
      </c>
      <c r="N15" s="335">
        <f>ROUND(N14*Assumptions!M58,2)</f>
        <v>230.58</v>
      </c>
      <c r="O15" s="337">
        <f>ROUND(O14*Assumptions!N58,2)</f>
        <v>291.24</v>
      </c>
      <c r="P15" s="338">
        <f>ROUND(P14*Assumptions!O58,2)</f>
        <v>347.1</v>
      </c>
    </row>
    <row r="16" spans="1:16" ht="15" thickBot="1" x14ac:dyDescent="0.35">
      <c r="A16" s="130" t="s">
        <v>98</v>
      </c>
      <c r="C16" s="251">
        <f>C9-C14-C15</f>
        <v>3.1399999999999952</v>
      </c>
      <c r="D16" s="252">
        <f>D9-D14-D15</f>
        <v>5.1399999999999944</v>
      </c>
      <c r="E16" s="252">
        <f>E9-E14-E15</f>
        <v>3.4599999999999955</v>
      </c>
      <c r="F16" s="252">
        <f>F9-F14-F15</f>
        <v>5.5899999999999981</v>
      </c>
      <c r="G16" s="252">
        <f>ROUND('Income Statement'!G19*0.173 + G5*0.04 + 'Income Statement'!G4*0.024, 2)</f>
        <v>7.66</v>
      </c>
      <c r="H16" s="252">
        <f>ROUND('Income Statement'!H19*0.173 + H5*0.04 + 'Income Statement'!H4*0.024, 2)</f>
        <v>12.32</v>
      </c>
      <c r="I16" s="252">
        <f>ROUND('Income Statement'!I19*0.173 + I5*0.04 + 'Income Statement'!I4*0.024, 2)</f>
        <v>16.5</v>
      </c>
      <c r="J16" s="252">
        <f>ROUND('Income Statement'!J19*0.173 + J5*0.035 + 'Income Statement'!J4*0.024, 2)</f>
        <v>19.87</v>
      </c>
      <c r="K16" s="324">
        <f>ROUND('Income Statement'!K19*0.173 + K5*0.035 + 'Income Statement'!K4*0.024, 2)</f>
        <v>24.23</v>
      </c>
      <c r="L16" s="335">
        <f>ROUND('Income Statement'!L19*0.173 + L5*0.035 + 'Income Statement'!L4*0.024, 2)</f>
        <v>28.4</v>
      </c>
      <c r="M16" s="336">
        <f>ROUND('Income Statement'!M19*0.173 + M5*0.03 + 'Income Statement'!M4*0.024, 2)</f>
        <v>31.24</v>
      </c>
      <c r="N16" s="335">
        <f>ROUND('Income Statement'!N19*0.173 + N5*0.03 + 'Income Statement'!N4*0.024, 2)</f>
        <v>37.79</v>
      </c>
      <c r="O16" s="337">
        <f>ROUND('Income Statement'!O19*0.173 + O5*0.03 + 'Income Statement'!O4*0.024, 2)</f>
        <v>44.25</v>
      </c>
      <c r="P16" s="338">
        <f>ROUND('Income Statement'!P19*0.173 + P5*0.03 + 'Income Statement'!P4*0.024, 2)</f>
        <v>50.88</v>
      </c>
    </row>
    <row r="17" spans="1:16" ht="15" thickBot="1" x14ac:dyDescent="0.35">
      <c r="A17" s="226" t="s">
        <v>99</v>
      </c>
      <c r="B17" s="90"/>
      <c r="C17" s="57">
        <f>C14+C15+C16</f>
        <v>45.849999999999994</v>
      </c>
      <c r="D17" s="58">
        <f>D14+D15+D16</f>
        <v>52.849999999999994</v>
      </c>
      <c r="E17" s="58">
        <f>E14+E15+E16</f>
        <v>64.86999999999999</v>
      </c>
      <c r="F17" s="58">
        <f t="shared" ref="F17:K17" si="3">F14+F15+F16</f>
        <v>105.72</v>
      </c>
      <c r="G17" s="58">
        <f t="shared" si="3"/>
        <v>129.67600000000002</v>
      </c>
      <c r="H17" s="58">
        <f t="shared" si="3"/>
        <v>178.97309999999999</v>
      </c>
      <c r="I17" s="58">
        <f t="shared" si="3"/>
        <v>243.77685000000002</v>
      </c>
      <c r="J17" s="58">
        <f t="shared" si="3"/>
        <v>325.24560000000002</v>
      </c>
      <c r="K17" s="59">
        <f t="shared" si="3"/>
        <v>419.79117500000001</v>
      </c>
      <c r="L17" s="58">
        <f>L14+L15+L16</f>
        <v>526.90926312500005</v>
      </c>
      <c r="M17" s="57">
        <f>M14+M15+M16</f>
        <v>653.56362940625013</v>
      </c>
      <c r="N17" s="58">
        <f>N14+N15+N16</f>
        <v>804.6043927515625</v>
      </c>
      <c r="O17" s="59">
        <f>O14+O15+O16</f>
        <v>982.68770363914064</v>
      </c>
      <c r="P17" s="83">
        <f>P14+P15+P16</f>
        <v>1169.3183600710977</v>
      </c>
    </row>
    <row r="18" spans="1:16" ht="4.05" customHeight="1" thickTop="1" x14ac:dyDescent="0.3">
      <c r="A18" s="254"/>
      <c r="C18" s="255"/>
      <c r="D18" s="256"/>
      <c r="E18" s="256"/>
      <c r="F18" s="256"/>
      <c r="G18" s="256"/>
      <c r="H18" s="256"/>
      <c r="I18" s="256"/>
      <c r="J18" s="256"/>
      <c r="K18" s="325"/>
      <c r="L18" s="335"/>
      <c r="M18" s="336"/>
      <c r="N18" s="335"/>
      <c r="O18" s="337"/>
      <c r="P18" s="338"/>
    </row>
    <row r="19" spans="1:16" x14ac:dyDescent="0.3">
      <c r="A19" s="227" t="s">
        <v>100</v>
      </c>
      <c r="B19" s="91"/>
      <c r="C19" s="95">
        <f t="shared" ref="C19:K19" si="4">ROUND(C9-C17,2)</f>
        <v>0</v>
      </c>
      <c r="D19" s="96">
        <f t="shared" si="4"/>
        <v>0</v>
      </c>
      <c r="E19" s="96">
        <f t="shared" si="4"/>
        <v>0</v>
      </c>
      <c r="F19" s="96">
        <f t="shared" si="4"/>
        <v>0</v>
      </c>
      <c r="G19" s="96">
        <f t="shared" si="4"/>
        <v>0</v>
      </c>
      <c r="H19" s="96">
        <f t="shared" si="4"/>
        <v>0</v>
      </c>
      <c r="I19" s="96">
        <f t="shared" si="4"/>
        <v>0</v>
      </c>
      <c r="J19" s="96">
        <f t="shared" si="4"/>
        <v>0</v>
      </c>
      <c r="K19" s="97">
        <f t="shared" si="4"/>
        <v>0</v>
      </c>
      <c r="L19" s="366">
        <f>ROUND(L9-L17,2)</f>
        <v>0</v>
      </c>
      <c r="M19" s="367">
        <f>ROUND(M9-M17,2)</f>
        <v>0</v>
      </c>
      <c r="N19" s="366">
        <f>ROUND(N9-N17,2)</f>
        <v>0</v>
      </c>
      <c r="O19" s="368">
        <f>ROUND(O9-O17,2)</f>
        <v>0</v>
      </c>
      <c r="P19" s="369">
        <f>ROUND(P9-P17,2)</f>
        <v>0</v>
      </c>
    </row>
    <row r="20" spans="1:16" ht="4.05" customHeight="1" x14ac:dyDescent="0.3">
      <c r="A20" s="254"/>
      <c r="C20" s="255"/>
      <c r="D20" s="256"/>
      <c r="E20" s="256"/>
      <c r="F20" s="256"/>
      <c r="G20" s="256"/>
      <c r="H20" s="256"/>
      <c r="I20" s="256"/>
      <c r="J20" s="256"/>
      <c r="K20" s="325"/>
      <c r="L20" s="335"/>
      <c r="M20" s="336"/>
      <c r="N20" s="335"/>
      <c r="O20" s="337"/>
      <c r="P20" s="338"/>
    </row>
    <row r="21" spans="1:16" x14ac:dyDescent="0.3">
      <c r="A21" s="81" t="s">
        <v>101</v>
      </c>
      <c r="B21" s="55"/>
      <c r="C21" s="75"/>
      <c r="D21" s="76"/>
      <c r="E21" s="76"/>
      <c r="F21" s="76"/>
      <c r="G21" s="76"/>
      <c r="H21" s="76"/>
      <c r="I21" s="76"/>
      <c r="J21" s="76"/>
      <c r="K21" s="77"/>
      <c r="L21" s="58"/>
      <c r="M21" s="57"/>
      <c r="N21" s="58"/>
      <c r="O21" s="59"/>
      <c r="P21" s="83"/>
    </row>
    <row r="22" spans="1:16" x14ac:dyDescent="0.3">
      <c r="A22" s="130" t="s">
        <v>102</v>
      </c>
      <c r="C22" s="270">
        <f>'Income Statement'!C19/C14</f>
        <v>6.5504490227152712E-2</v>
      </c>
      <c r="D22" s="270">
        <f>'Income Statement'!D19/D14</f>
        <v>7.9668431959474983E-2</v>
      </c>
      <c r="E22" s="270">
        <f>'Income Statement'!E19/E14</f>
        <v>8.9163822525597278E-2</v>
      </c>
      <c r="F22" s="270">
        <f>'Income Statement'!F19/F14</f>
        <v>0.10268543712291493</v>
      </c>
      <c r="G22" s="271">
        <f>'Income Statement'!G19/G14</f>
        <v>0.17270545654825131</v>
      </c>
      <c r="H22" s="271">
        <f>'Income Statement'!H19/H14</f>
        <v>0.24125301616899089</v>
      </c>
      <c r="I22" s="271">
        <f>'Income Statement'!I19/I14</f>
        <v>0.24134593742322769</v>
      </c>
      <c r="J22" s="271">
        <f>'Income Statement'!J19/J14</f>
        <v>0.23094587401903402</v>
      </c>
      <c r="K22" s="355">
        <f>'Income Statement'!K19/K14</f>
        <v>0.21505310603056244</v>
      </c>
      <c r="L22" s="370">
        <f>'Income Statement'!L19/L14</f>
        <v>0.19936737540393948</v>
      </c>
      <c r="M22" s="371">
        <f>'Income Statement'!M19/M14</f>
        <v>0.19183381640250499</v>
      </c>
      <c r="N22" s="370">
        <f>'Income Statement'!N19/N14</f>
        <v>0.18690196805736395</v>
      </c>
      <c r="O22" s="372">
        <f>'Income Statement'!O19/O14</f>
        <v>0.17678262800414971</v>
      </c>
      <c r="P22" s="373">
        <f>'Income Statement'!P19/P14</f>
        <v>0.16765101170391353</v>
      </c>
    </row>
    <row r="23" spans="1:16" x14ac:dyDescent="0.3">
      <c r="A23" s="130" t="s">
        <v>103</v>
      </c>
      <c r="C23" s="270">
        <f>'Income Statement'!C19/C9</f>
        <v>5.4089422028353373E-2</v>
      </c>
      <c r="D23" s="271">
        <f>'Income Statement'!D19/D9</f>
        <v>6.5468306527909165E-2</v>
      </c>
      <c r="E23" s="271">
        <f>'Income Statement'!E19/E9</f>
        <v>6.4436565438569446E-2</v>
      </c>
      <c r="F23" s="271">
        <f>'Income Statement'!F19/F9</f>
        <v>8.2103670071887999E-2</v>
      </c>
      <c r="G23" s="271">
        <f>'Income Statement'!G19/G9</f>
        <v>0.135414417471236</v>
      </c>
      <c r="H23" s="271">
        <f>'Income Statement'!H19/H9</f>
        <v>0.17971751062031108</v>
      </c>
      <c r="I23" s="271">
        <f>'Income Statement'!I19/I9</f>
        <v>0.1730834982895218</v>
      </c>
      <c r="J23" s="271">
        <f>'Income Statement'!J19/J9</f>
        <v>0.16062092769279585</v>
      </c>
      <c r="K23" s="355">
        <f>'Income Statement'!K19/K9</f>
        <v>0.1468422365000884</v>
      </c>
      <c r="L23" s="370">
        <f>'Income Statement'!L19/L9</f>
        <v>0.13473019567727496</v>
      </c>
      <c r="M23" s="371">
        <f>'Income Statement'!M19/M9</f>
        <v>0.12863608453491773</v>
      </c>
      <c r="N23" s="370">
        <f>'Income Statement'!N19/N9</f>
        <v>0.12456216278234812</v>
      </c>
      <c r="O23" s="372">
        <f>'Income Statement'!O19/O9</f>
        <v>0.11642896361059241</v>
      </c>
      <c r="P23" s="373">
        <f>'Income Statement'!P19/P9</f>
        <v>0.11059063198502614</v>
      </c>
    </row>
    <row r="24" spans="1:16" x14ac:dyDescent="0.3">
      <c r="A24" s="130" t="s">
        <v>104</v>
      </c>
      <c r="C24" s="272">
        <f t="shared" ref="C24:P24" si="5">C15/C14</f>
        <v>0.12810353935552032</v>
      </c>
      <c r="D24" s="273">
        <f t="shared" si="5"/>
        <v>9.8549389822703212E-2</v>
      </c>
      <c r="E24" s="273">
        <f t="shared" si="5"/>
        <v>0.30994027303754268</v>
      </c>
      <c r="F24" s="273">
        <f t="shared" si="5"/>
        <v>0.18454986395362594</v>
      </c>
      <c r="G24" s="273">
        <f t="shared" si="5"/>
        <v>0.20004720878083321</v>
      </c>
      <c r="H24" s="273">
        <f t="shared" si="5"/>
        <v>0.24999418705385634</v>
      </c>
      <c r="I24" s="273">
        <f t="shared" si="5"/>
        <v>0.30001112529339746</v>
      </c>
      <c r="J24" s="273">
        <f t="shared" si="5"/>
        <v>0.34999133531619026</v>
      </c>
      <c r="K24" s="356">
        <f t="shared" si="5"/>
        <v>0.3799872785199126</v>
      </c>
      <c r="L24" s="374">
        <f t="shared" si="5"/>
        <v>0.39999521103816876</v>
      </c>
      <c r="M24" s="375">
        <f t="shared" si="5"/>
        <v>0.42000793068018549</v>
      </c>
      <c r="N24" s="374">
        <f t="shared" si="5"/>
        <v>0.42999852884637291</v>
      </c>
      <c r="O24" s="376">
        <f t="shared" si="5"/>
        <v>0.45000159667189937</v>
      </c>
      <c r="P24" s="377">
        <f t="shared" si="5"/>
        <v>0.44999706739336326</v>
      </c>
    </row>
    <row r="25" spans="1:16" x14ac:dyDescent="0.3">
      <c r="A25" s="130" t="s">
        <v>105</v>
      </c>
      <c r="C25" s="263">
        <f>C14/2.88</f>
        <v>13.145833333333334</v>
      </c>
      <c r="D25" s="264">
        <f>D14/2.88</f>
        <v>15.079861111111111</v>
      </c>
      <c r="E25" s="264">
        <f>E14/3.38</f>
        <v>13.8698224852071</v>
      </c>
      <c r="F25" s="264">
        <f>F14/3.45</f>
        <v>24.501449275362319</v>
      </c>
      <c r="G25" s="264">
        <f>G14/Assumptions!F56</f>
        <v>29.471304347826091</v>
      </c>
      <c r="H25" s="264">
        <f>H14/Assumptions!G56</f>
        <v>38.644376811594206</v>
      </c>
      <c r="I25" s="264">
        <f>I14/Assumptions!H56</f>
        <v>50.674449275362321</v>
      </c>
      <c r="J25" s="264">
        <f>J14/Assumptions!I56</f>
        <v>65.566840579710146</v>
      </c>
      <c r="K25" s="328">
        <f>K14/Assumptions!J56</f>
        <v>83.084398550724629</v>
      </c>
      <c r="L25" s="378">
        <f>L14/Assumptions!K56</f>
        <v>103.21138061594203</v>
      </c>
      <c r="M25" s="379">
        <f>M14/Assumptions!L56</f>
        <v>127.03003750905799</v>
      </c>
      <c r="N25" s="378">
        <f>N14/Assumptions!M56</f>
        <v>155.43025876856882</v>
      </c>
      <c r="O25" s="380">
        <f>O14/Assumptions!N56</f>
        <v>187.59353728670743</v>
      </c>
      <c r="P25" s="381">
        <f>P14/Assumptions!O56</f>
        <v>223.57633625249207</v>
      </c>
    </row>
    <row r="26" spans="1:16" ht="4.05" customHeight="1" x14ac:dyDescent="0.3">
      <c r="A26" s="130"/>
      <c r="C26" s="255"/>
      <c r="D26" s="256"/>
      <c r="E26" s="256"/>
      <c r="F26" s="256"/>
      <c r="G26" s="256"/>
      <c r="H26" s="256"/>
      <c r="I26" s="256"/>
      <c r="J26" s="256"/>
      <c r="K26" s="325"/>
      <c r="L26" s="335"/>
      <c r="M26" s="336"/>
      <c r="N26" s="335"/>
      <c r="O26" s="337"/>
      <c r="P26" s="338"/>
    </row>
    <row r="27" spans="1:16" x14ac:dyDescent="0.3">
      <c r="A27" s="130" t="s">
        <v>106</v>
      </c>
      <c r="C27" s="263">
        <v>0</v>
      </c>
      <c r="D27" s="264">
        <v>0</v>
      </c>
      <c r="E27" s="264">
        <v>0.06</v>
      </c>
      <c r="F27" s="264">
        <v>0.09</v>
      </c>
      <c r="G27" s="264">
        <v>0.12</v>
      </c>
      <c r="H27" s="264">
        <v>0.15</v>
      </c>
      <c r="I27" s="264">
        <v>0.2</v>
      </c>
      <c r="J27" s="264">
        <v>0.25</v>
      </c>
      <c r="K27" s="328">
        <v>0.35</v>
      </c>
      <c r="L27" s="347">
        <v>0.45</v>
      </c>
      <c r="M27" s="348">
        <v>0.55000000000000004</v>
      </c>
      <c r="N27" s="347">
        <v>0.65</v>
      </c>
      <c r="O27" s="349">
        <v>1</v>
      </c>
      <c r="P27" s="350">
        <v>1.5</v>
      </c>
    </row>
    <row r="28" spans="1:16" ht="15" thickBot="1" x14ac:dyDescent="0.35">
      <c r="A28" s="132" t="s">
        <v>107</v>
      </c>
      <c r="B28" s="265"/>
      <c r="C28" s="274">
        <v>0</v>
      </c>
      <c r="D28" s="275">
        <v>0</v>
      </c>
      <c r="E28" s="275">
        <f>E27*3.38</f>
        <v>0.20279999999999998</v>
      </c>
      <c r="F28" s="275">
        <f>F27*3.45</f>
        <v>0.3105</v>
      </c>
      <c r="G28" s="275">
        <f>G27*Assumptions!F56</f>
        <v>0.41399999999999998</v>
      </c>
      <c r="H28" s="275">
        <f>H27*Assumptions!G56</f>
        <v>0.51749999999999996</v>
      </c>
      <c r="I28" s="275">
        <f>I27*Assumptions!H56</f>
        <v>0.69000000000000006</v>
      </c>
      <c r="J28" s="275">
        <f>J27*Assumptions!I56</f>
        <v>0.86250000000000004</v>
      </c>
      <c r="K28" s="357">
        <f>K27*Assumptions!J56</f>
        <v>1.2075</v>
      </c>
      <c r="L28" s="382">
        <f>L27*Assumptions!K56</f>
        <v>1.5525000000000002</v>
      </c>
      <c r="M28" s="383">
        <f>M27*Assumptions!L56</f>
        <v>1.8975000000000002</v>
      </c>
      <c r="N28" s="382">
        <f>N27*Assumptions!M56</f>
        <v>2.2425000000000002</v>
      </c>
      <c r="O28" s="384">
        <f>O27*Assumptions!N56</f>
        <v>3.45</v>
      </c>
      <c r="P28" s="385">
        <f>P27*Assumptions!O56</f>
        <v>5.1750000000000007</v>
      </c>
    </row>
  </sheetData>
  <mergeCells count="1">
    <mergeCell ref="A1:P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43B6-FA29-404D-87C3-6FB73BDD5ADD}">
  <sheetPr>
    <tabColor rgb="FF7F6000"/>
  </sheetPr>
  <dimension ref="A1:P22"/>
  <sheetViews>
    <sheetView workbookViewId="0">
      <pane ySplit="3" topLeftCell="A4" activePane="bottomLeft" state="frozen"/>
      <selection pane="bottomLeft" activeCell="G18" sqref="G18"/>
    </sheetView>
  </sheetViews>
  <sheetFormatPr defaultRowHeight="14.4" x14ac:dyDescent="0.3"/>
  <cols>
    <col min="1" max="1" width="46.33203125" customWidth="1"/>
    <col min="2" max="2" width="2.77734375" customWidth="1"/>
    <col min="3" max="16" width="16.6640625" customWidth="1"/>
  </cols>
  <sheetData>
    <row r="1" spans="1:16" ht="30" customHeight="1" x14ac:dyDescent="0.35">
      <c r="A1" s="542" t="s">
        <v>108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</row>
    <row r="2" spans="1:16" ht="18" customHeight="1" thickBot="1" x14ac:dyDescent="0.35">
      <c r="A2" s="6" t="s">
        <v>62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6" ht="22.05" customHeight="1" x14ac:dyDescent="0.3">
      <c r="A3" s="80" t="s">
        <v>63</v>
      </c>
      <c r="B3" s="98"/>
      <c r="C3" s="78" t="s">
        <v>64</v>
      </c>
      <c r="D3" s="78" t="s">
        <v>3</v>
      </c>
      <c r="E3" s="78" t="s">
        <v>4</v>
      </c>
      <c r="F3" s="78" t="s">
        <v>5</v>
      </c>
      <c r="G3" s="79" t="s">
        <v>6</v>
      </c>
      <c r="H3" s="79" t="s">
        <v>7</v>
      </c>
      <c r="I3" s="79" t="s">
        <v>8</v>
      </c>
      <c r="J3" s="79" t="s">
        <v>9</v>
      </c>
      <c r="K3" s="79" t="s">
        <v>65</v>
      </c>
      <c r="L3" s="79" t="s">
        <v>236</v>
      </c>
      <c r="M3" s="79" t="s">
        <v>237</v>
      </c>
      <c r="N3" s="79" t="s">
        <v>238</v>
      </c>
      <c r="O3" s="79" t="s">
        <v>239</v>
      </c>
      <c r="P3" s="82" t="s">
        <v>240</v>
      </c>
    </row>
    <row r="4" spans="1:16" x14ac:dyDescent="0.3">
      <c r="A4" s="228" t="s">
        <v>109</v>
      </c>
      <c r="C4" s="276"/>
      <c r="D4" s="277"/>
      <c r="E4" s="277"/>
      <c r="F4" s="277"/>
      <c r="G4" s="277"/>
      <c r="H4" s="277"/>
      <c r="I4" s="277"/>
      <c r="J4" s="277"/>
      <c r="K4" s="386"/>
      <c r="L4" s="392"/>
      <c r="M4" s="393"/>
      <c r="N4" s="392"/>
      <c r="O4" s="394"/>
      <c r="P4" s="395"/>
    </row>
    <row r="5" spans="1:16" x14ac:dyDescent="0.3">
      <c r="A5" s="130" t="s">
        <v>110</v>
      </c>
      <c r="C5" s="251">
        <f>'Income Statement'!C19</f>
        <v>2.4800000000000018</v>
      </c>
      <c r="D5" s="252">
        <f>'Income Statement'!D19</f>
        <v>3.4599999999999986</v>
      </c>
      <c r="E5" s="252">
        <f>'Income Statement'!E19</f>
        <v>4.18</v>
      </c>
      <c r="F5" s="252">
        <f>'Income Statement'!F19</f>
        <v>8.68</v>
      </c>
      <c r="G5" s="252">
        <f>'Income Statement'!G19</f>
        <v>17.560000000000002</v>
      </c>
      <c r="H5" s="252">
        <f>'Income Statement'!H19</f>
        <v>32.164599999999993</v>
      </c>
      <c r="I5" s="252">
        <f>'Income Statement'!I19</f>
        <v>42.193750000000016</v>
      </c>
      <c r="J5" s="252">
        <f>'Income Statement'!J19</f>
        <v>52.241250000000001</v>
      </c>
      <c r="K5" s="324">
        <f>'Income Statement'!K19</f>
        <v>61.643074999999996</v>
      </c>
      <c r="L5" s="335">
        <f>'Income Statement'!L19</f>
        <v>70.990588125000016</v>
      </c>
      <c r="M5" s="336">
        <f>'Income Statement'!M19</f>
        <v>84.071866281250038</v>
      </c>
      <c r="N5" s="335">
        <f>'Income Statement'!N19</f>
        <v>100.22326334531249</v>
      </c>
      <c r="O5" s="337">
        <f>'Income Statement'!O19</f>
        <v>114.41331088757812</v>
      </c>
      <c r="P5" s="338">
        <f>'Income Statement'!P19</f>
        <v>129.31565643195705</v>
      </c>
    </row>
    <row r="6" spans="1:16" x14ac:dyDescent="0.3">
      <c r="A6" s="130" t="s">
        <v>111</v>
      </c>
      <c r="C6" s="251">
        <v>0.04</v>
      </c>
      <c r="D6" s="252">
        <v>0.03</v>
      </c>
      <c r="E6" s="252">
        <v>0.06</v>
      </c>
      <c r="F6" s="252">
        <f>'Income Statement'!F15</f>
        <v>0.08</v>
      </c>
      <c r="G6" s="252">
        <f>'Income Statement'!G15</f>
        <v>0.02</v>
      </c>
      <c r="H6" s="252">
        <f>'Income Statement'!H15</f>
        <v>0.03</v>
      </c>
      <c r="I6" s="252">
        <f>'Income Statement'!I15</f>
        <v>0.05</v>
      </c>
      <c r="J6" s="252">
        <f>'Income Statement'!J15</f>
        <v>7.0000000000000007E-2</v>
      </c>
      <c r="K6" s="324">
        <f>'Income Statement'!K15</f>
        <v>0.09</v>
      </c>
      <c r="L6" s="335">
        <f>'Income Statement'!L15</f>
        <v>0.11</v>
      </c>
      <c r="M6" s="336">
        <f>'Income Statement'!M15</f>
        <v>0.13</v>
      </c>
      <c r="N6" s="335">
        <f>'Income Statement'!N15</f>
        <v>0.15</v>
      </c>
      <c r="O6" s="337">
        <f>'Income Statement'!O15</f>
        <v>0.17</v>
      </c>
      <c r="P6" s="338">
        <f>'Income Statement'!P15</f>
        <v>0.19</v>
      </c>
    </row>
    <row r="7" spans="1:16" x14ac:dyDescent="0.3">
      <c r="A7" s="130" t="s">
        <v>112</v>
      </c>
      <c r="C7" s="251">
        <v>0.03</v>
      </c>
      <c r="D7" s="252">
        <v>0.08</v>
      </c>
      <c r="E7" s="252">
        <v>0</v>
      </c>
      <c r="F7" s="252">
        <f>'Income Statement'!F16</f>
        <v>0.2</v>
      </c>
      <c r="G7" s="252">
        <f>'Income Statement'!G16</f>
        <v>0.38</v>
      </c>
      <c r="H7" s="252">
        <f>'Income Statement'!H16</f>
        <v>0.61</v>
      </c>
      <c r="I7" s="252">
        <f>'Income Statement'!I16</f>
        <v>0.93</v>
      </c>
      <c r="J7" s="252">
        <f>'Income Statement'!J16</f>
        <v>1.23</v>
      </c>
      <c r="K7" s="324">
        <f>'Income Statement'!K16</f>
        <v>1.55</v>
      </c>
      <c r="L7" s="335">
        <f>'Income Statement'!L16</f>
        <v>1.85</v>
      </c>
      <c r="M7" s="336">
        <f>'Income Statement'!M16</f>
        <v>2.15</v>
      </c>
      <c r="N7" s="335">
        <f>'Income Statement'!N16</f>
        <v>2.65</v>
      </c>
      <c r="O7" s="337">
        <f>'Income Statement'!O16</f>
        <v>3.2</v>
      </c>
      <c r="P7" s="338">
        <f>'Income Statement'!P16</f>
        <v>3.75</v>
      </c>
    </row>
    <row r="8" spans="1:16" x14ac:dyDescent="0.3">
      <c r="A8" s="130" t="s">
        <v>113</v>
      </c>
      <c r="C8" s="251">
        <v>-42.01</v>
      </c>
      <c r="D8" s="252">
        <f>-('Balance Sheet'!D5-'Balance Sheet'!C5)</f>
        <v>-2.2700000000000031</v>
      </c>
      <c r="E8" s="252">
        <f>-('Balance Sheet'!E5-'Balance Sheet'!D5)</f>
        <v>-10.759999999999998</v>
      </c>
      <c r="F8" s="252">
        <f>-('Balance Sheet'!F5-'Balance Sheet'!E5)</f>
        <v>-25.65</v>
      </c>
      <c r="G8" s="252">
        <f>-('Balance Sheet'!G5-'Balance Sheet'!F5)</f>
        <v>-14.310000000000002</v>
      </c>
      <c r="H8" s="252">
        <f>-('Balance Sheet'!H5-'Balance Sheet'!G5)</f>
        <v>-40</v>
      </c>
      <c r="I8" s="252">
        <f>-('Balance Sheet'!I5-'Balance Sheet'!H5)</f>
        <v>-50</v>
      </c>
      <c r="J8" s="252">
        <f>-('Balance Sheet'!J5-'Balance Sheet'!I5)</f>
        <v>-60</v>
      </c>
      <c r="K8" s="324">
        <f>-('Balance Sheet'!K5-'Balance Sheet'!J5)</f>
        <v>-65</v>
      </c>
      <c r="L8" s="335">
        <f>-('Balance Sheet'!L5-'Balance Sheet'!K5)</f>
        <v>-60</v>
      </c>
      <c r="M8" s="336">
        <f>-('Balance Sheet'!M5-'Balance Sheet'!L5)</f>
        <v>-60</v>
      </c>
      <c r="N8" s="335">
        <f>-('Balance Sheet'!N5-'Balance Sheet'!M5)</f>
        <v>-100</v>
      </c>
      <c r="O8" s="337">
        <f>-('Balance Sheet'!O5-'Balance Sheet'!N5)</f>
        <v>-110</v>
      </c>
      <c r="P8" s="338">
        <f>-('Balance Sheet'!P5-'Balance Sheet'!O5)</f>
        <v>-110</v>
      </c>
    </row>
    <row r="9" spans="1:16" x14ac:dyDescent="0.3">
      <c r="A9" s="130" t="s">
        <v>114</v>
      </c>
      <c r="C9" s="251">
        <v>37.76</v>
      </c>
      <c r="D9" s="252">
        <f>'Balance Sheet'!D4-'Balance Sheet'!C4-(D5+D6+D7+D8)-D15-D21</f>
        <v>2.920000000000003</v>
      </c>
      <c r="E9" s="252">
        <f>'Balance Sheet'!E4-'Balance Sheet'!D4-(E5+E6+E7+E8)-E15-E21</f>
        <v>-7.2272000000000016</v>
      </c>
      <c r="F9" s="252">
        <f>'Balance Sheet'!F4-'Balance Sheet'!E4-(F5+F6+F7+F8)-F15-F21</f>
        <v>26.320499999999999</v>
      </c>
      <c r="G9" s="252">
        <f>('Balance Sheet'!G16-'Balance Sheet'!F16)-('Balance Sheet'!G8-'Balance Sheet'!F8)</f>
        <v>1.3700000000000019</v>
      </c>
      <c r="H9" s="252">
        <f>('Balance Sheet'!H16-'Balance Sheet'!G16)-('Balance Sheet'!H8-'Balance Sheet'!G8)</f>
        <v>3.66</v>
      </c>
      <c r="I9" s="252">
        <f>('Balance Sheet'!I16-'Balance Sheet'!H16)-('Balance Sheet'!I8-'Balance Sheet'!H8)</f>
        <v>3.1799999999999997</v>
      </c>
      <c r="J9" s="252">
        <f>('Balance Sheet'!J16-'Balance Sheet'!I16)-('Balance Sheet'!J8-'Balance Sheet'!I8)</f>
        <v>1.870000000000001</v>
      </c>
      <c r="K9" s="324">
        <f>('Balance Sheet'!K16-'Balance Sheet'!J16)-('Balance Sheet'!K8-'Balance Sheet'!J8)</f>
        <v>2.8599999999999994</v>
      </c>
      <c r="L9" s="335">
        <f>('Balance Sheet'!L16-'Balance Sheet'!K16)-('Balance Sheet'!L8-'Balance Sheet'!K8)</f>
        <v>2.6699999999999982</v>
      </c>
      <c r="M9" s="336">
        <f>('Balance Sheet'!M16-'Balance Sheet'!L16)-('Balance Sheet'!M8-'Balance Sheet'!L8)</f>
        <v>0.83999999999999986</v>
      </c>
      <c r="N9" s="335">
        <f>('Balance Sheet'!N16-'Balance Sheet'!M16)-('Balance Sheet'!N8-'Balance Sheet'!M8)</f>
        <v>4.5500000000000007</v>
      </c>
      <c r="O9" s="337">
        <f>('Balance Sheet'!O16-'Balance Sheet'!N16)-('Balance Sheet'!O8-'Balance Sheet'!N8)</f>
        <v>4.4600000000000009</v>
      </c>
      <c r="P9" s="338">
        <f>('Balance Sheet'!P16-'Balance Sheet'!O16)-('Balance Sheet'!P8-'Balance Sheet'!O8)</f>
        <v>4.6300000000000026</v>
      </c>
    </row>
    <row r="10" spans="1:16" x14ac:dyDescent="0.3">
      <c r="A10" s="131" t="s">
        <v>115</v>
      </c>
      <c r="B10" s="52"/>
      <c r="C10" s="63">
        <f>SUM(C5:C9)</f>
        <v>-1.6999999999999957</v>
      </c>
      <c r="D10" s="64">
        <f>SUM(D5:D9)</f>
        <v>4.2199999999999989</v>
      </c>
      <c r="E10" s="64">
        <f>SUM(E5:E9)</f>
        <v>-13.747199999999999</v>
      </c>
      <c r="F10" s="64">
        <f t="shared" ref="F10:K10" si="0">SUM(F5:F9)</f>
        <v>9.6305000000000014</v>
      </c>
      <c r="G10" s="64">
        <f t="shared" si="0"/>
        <v>5.0200000000000005</v>
      </c>
      <c r="H10" s="64">
        <f t="shared" si="0"/>
        <v>-3.5354000000000063</v>
      </c>
      <c r="I10" s="64">
        <f t="shared" si="0"/>
        <v>-3.6462499999999878</v>
      </c>
      <c r="J10" s="64">
        <f t="shared" si="0"/>
        <v>-4.588750000000001</v>
      </c>
      <c r="K10" s="65">
        <f t="shared" si="0"/>
        <v>1.1430749999999961</v>
      </c>
      <c r="L10" s="64">
        <f>SUM(L5:L9)</f>
        <v>15.620588125000008</v>
      </c>
      <c r="M10" s="63">
        <f>SUM(M5:M9)</f>
        <v>27.191866281250039</v>
      </c>
      <c r="N10" s="64">
        <f>SUM(N5:N9)</f>
        <v>7.5732633453125011</v>
      </c>
      <c r="O10" s="65">
        <f>SUM(O5:O9)</f>
        <v>12.243310887578126</v>
      </c>
      <c r="P10" s="85">
        <f>SUM(P5:P9)</f>
        <v>27.885656431957052</v>
      </c>
    </row>
    <row r="11" spans="1:16" ht="4.05" customHeight="1" x14ac:dyDescent="0.3">
      <c r="A11" s="254"/>
      <c r="C11" s="255"/>
      <c r="D11" s="256"/>
      <c r="E11" s="256"/>
      <c r="F11" s="256"/>
      <c r="G11" s="256"/>
      <c r="H11" s="256"/>
      <c r="I11" s="256"/>
      <c r="J11" s="256"/>
      <c r="K11" s="325"/>
      <c r="L11" s="335"/>
      <c r="M11" s="336"/>
      <c r="N11" s="335"/>
      <c r="O11" s="337"/>
      <c r="P11" s="338"/>
    </row>
    <row r="12" spans="1:16" x14ac:dyDescent="0.3">
      <c r="A12" s="228" t="s">
        <v>116</v>
      </c>
      <c r="C12" s="255"/>
      <c r="D12" s="256"/>
      <c r="E12" s="256"/>
      <c r="F12" s="256"/>
      <c r="G12" s="256"/>
      <c r="H12" s="256"/>
      <c r="I12" s="256"/>
      <c r="J12" s="256"/>
      <c r="K12" s="325"/>
      <c r="L12" s="335"/>
      <c r="M12" s="336"/>
      <c r="N12" s="335"/>
      <c r="O12" s="337"/>
      <c r="P12" s="338"/>
    </row>
    <row r="13" spans="1:16" x14ac:dyDescent="0.3">
      <c r="A13" s="130" t="s">
        <v>117</v>
      </c>
      <c r="C13" s="251">
        <v>-0.28000000000000003</v>
      </c>
      <c r="D13" s="252">
        <f>-('Balance Sheet'!D7-'Balance Sheet'!C7+'Income Statement'!D15)</f>
        <v>-9.9999999999999811E-3</v>
      </c>
      <c r="E13" s="252">
        <f>-('Balance Sheet'!E7-'Balance Sheet'!D7+'Income Statement'!E15)</f>
        <v>-0.3</v>
      </c>
      <c r="F13" s="252">
        <f>-('Balance Sheet'!F7-'Balance Sheet'!E7+'Income Statement'!F15)</f>
        <v>-0.26000000000000006</v>
      </c>
      <c r="G13" s="252">
        <f>-('Balance Sheet'!G7-'Balance Sheet'!F7+'Income Statement'!G15)</f>
        <v>-8.9999999999999955E-2</v>
      </c>
      <c r="H13" s="252">
        <f>-('Balance Sheet'!H7-'Balance Sheet'!G7+'Income Statement'!H15)</f>
        <v>-0.12999999999999998</v>
      </c>
      <c r="I13" s="252">
        <f>-('Balance Sheet'!I7-'Balance Sheet'!H7+'Income Statement'!I15)</f>
        <v>-0.2</v>
      </c>
      <c r="J13" s="252">
        <f>-('Balance Sheet'!J7-'Balance Sheet'!I7+'Income Statement'!J15)</f>
        <v>-0.26999999999999996</v>
      </c>
      <c r="K13" s="324">
        <f>-('Balance Sheet'!K7-'Balance Sheet'!J7+'Income Statement'!K15)</f>
        <v>-0.28999999999999992</v>
      </c>
      <c r="L13" s="335">
        <f>-('Balance Sheet'!L7-'Balance Sheet'!K7+'Income Statement'!L15)</f>
        <v>-0.31000000000000016</v>
      </c>
      <c r="M13" s="336">
        <f>-('Balance Sheet'!M7-'Balance Sheet'!L7+'Income Statement'!M15)</f>
        <v>-0.38</v>
      </c>
      <c r="N13" s="335">
        <f>-('Balance Sheet'!N7-'Balance Sheet'!M7+'Income Statement'!N15)</f>
        <v>-0.4</v>
      </c>
      <c r="O13" s="337">
        <f>-('Balance Sheet'!O7-'Balance Sheet'!N7+'Income Statement'!O15)</f>
        <v>-0.46999999999999986</v>
      </c>
      <c r="P13" s="338">
        <f>-('Balance Sheet'!P7-'Balance Sheet'!O7+'Income Statement'!P15)</f>
        <v>-0.49000000000000027</v>
      </c>
    </row>
    <row r="14" spans="1:16" x14ac:dyDescent="0.3">
      <c r="A14" s="130" t="s">
        <v>118</v>
      </c>
      <c r="C14" s="251">
        <v>-0.3</v>
      </c>
      <c r="D14" s="252">
        <f>-('Balance Sheet'!D6-'Balance Sheet'!C6)</f>
        <v>-0.16999999999999998</v>
      </c>
      <c r="E14" s="252">
        <f>-('Balance Sheet'!E6-'Balance Sheet'!D6)</f>
        <v>0.42</v>
      </c>
      <c r="F14" s="252">
        <f>-('Balance Sheet'!F6-'Balance Sheet'!E6)</f>
        <v>0.05</v>
      </c>
      <c r="G14" s="252">
        <f>-('Balance Sheet'!G6-'Balance Sheet'!F6)</f>
        <v>-1</v>
      </c>
      <c r="H14" s="252">
        <f>-('Balance Sheet'!H6-'Balance Sheet'!G6)</f>
        <v>-0.5</v>
      </c>
      <c r="I14" s="252">
        <f>-('Balance Sheet'!I6-'Balance Sheet'!H6)</f>
        <v>-0.5</v>
      </c>
      <c r="J14" s="252">
        <f>-('Balance Sheet'!J6-'Balance Sheet'!I6)</f>
        <v>-0.5</v>
      </c>
      <c r="K14" s="324">
        <f>-('Balance Sheet'!K6-'Balance Sheet'!J6)</f>
        <v>-0.5</v>
      </c>
      <c r="L14" s="335">
        <f>-('Balance Sheet'!L6-'Balance Sheet'!K6)</f>
        <v>-0.5</v>
      </c>
      <c r="M14" s="336">
        <f>-('Balance Sheet'!M6-'Balance Sheet'!L6)</f>
        <v>-0.5</v>
      </c>
      <c r="N14" s="335">
        <f>-('Balance Sheet'!N6-'Balance Sheet'!M6)</f>
        <v>-1</v>
      </c>
      <c r="O14" s="337">
        <f>-('Balance Sheet'!O6-'Balance Sheet'!N6)</f>
        <v>-1</v>
      </c>
      <c r="P14" s="338">
        <f>-('Balance Sheet'!P6-'Balance Sheet'!O6)</f>
        <v>-1</v>
      </c>
    </row>
    <row r="15" spans="1:16" x14ac:dyDescent="0.3">
      <c r="A15" s="229" t="s">
        <v>119</v>
      </c>
      <c r="B15" s="101"/>
      <c r="C15" s="69">
        <f>C13+C14</f>
        <v>-0.58000000000000007</v>
      </c>
      <c r="D15" s="70">
        <f>D13+D14</f>
        <v>-0.17999999999999997</v>
      </c>
      <c r="E15" s="70">
        <f>E13+E14</f>
        <v>0.12</v>
      </c>
      <c r="F15" s="70">
        <f t="shared" ref="F15:K15" si="1">F13+F14</f>
        <v>-0.21000000000000008</v>
      </c>
      <c r="G15" s="70">
        <f t="shared" si="1"/>
        <v>-1.0899999999999999</v>
      </c>
      <c r="H15" s="70">
        <f t="shared" si="1"/>
        <v>-0.63</v>
      </c>
      <c r="I15" s="70">
        <f t="shared" si="1"/>
        <v>-0.7</v>
      </c>
      <c r="J15" s="70">
        <f t="shared" si="1"/>
        <v>-0.77</v>
      </c>
      <c r="K15" s="71">
        <f t="shared" si="1"/>
        <v>-0.78999999999999992</v>
      </c>
      <c r="L15" s="70">
        <f>L13+L14</f>
        <v>-0.81000000000000016</v>
      </c>
      <c r="M15" s="69">
        <f>M13+M14</f>
        <v>-0.88</v>
      </c>
      <c r="N15" s="70">
        <f>N13+N14</f>
        <v>-1.4</v>
      </c>
      <c r="O15" s="71">
        <f>O13+O14</f>
        <v>-1.4699999999999998</v>
      </c>
      <c r="P15" s="86">
        <f>P13+P14</f>
        <v>-1.4900000000000002</v>
      </c>
    </row>
    <row r="16" spans="1:16" ht="4.05" customHeight="1" x14ac:dyDescent="0.3">
      <c r="A16" s="254"/>
      <c r="C16" s="255"/>
      <c r="D16" s="256"/>
      <c r="E16" s="256"/>
      <c r="F16" s="256"/>
      <c r="G16" s="278"/>
      <c r="H16" s="278"/>
      <c r="I16" s="278"/>
      <c r="J16" s="278"/>
      <c r="K16" s="387"/>
      <c r="L16" s="335"/>
      <c r="M16" s="336"/>
      <c r="N16" s="335"/>
      <c r="O16" s="337"/>
      <c r="P16" s="338"/>
    </row>
    <row r="17" spans="1:16" x14ac:dyDescent="0.3">
      <c r="A17" s="228" t="s">
        <v>120</v>
      </c>
      <c r="C17" s="255"/>
      <c r="D17" s="256"/>
      <c r="E17" s="256"/>
      <c r="F17" s="256"/>
      <c r="G17" s="278"/>
      <c r="H17" s="278"/>
      <c r="I17" s="278"/>
      <c r="J17" s="278"/>
      <c r="K17" s="387"/>
      <c r="L17" s="335"/>
      <c r="M17" s="336"/>
      <c r="N17" s="335"/>
      <c r="O17" s="337"/>
      <c r="P17" s="338"/>
    </row>
    <row r="18" spans="1:16" x14ac:dyDescent="0.3">
      <c r="A18" s="130" t="s">
        <v>121</v>
      </c>
      <c r="C18" s="251">
        <v>4.8499999999999996</v>
      </c>
      <c r="D18" s="252">
        <f>'Balance Sheet'!D15-'Balance Sheet'!C15</f>
        <v>-0.5699999999999994</v>
      </c>
      <c r="E18" s="252">
        <f>'Balance Sheet'!E15-'Balance Sheet'!D15</f>
        <v>10.25</v>
      </c>
      <c r="F18" s="252">
        <f>'Balance Sheet'!F15-'Balance Sheet'!E15</f>
        <v>1.0700000000000003</v>
      </c>
      <c r="G18" s="252">
        <f>'Balance Sheet'!G15-'Balance Sheet'!F15</f>
        <v>4.74</v>
      </c>
      <c r="H18" s="252">
        <f>'Balance Sheet'!H15-'Balance Sheet'!G15</f>
        <v>12.989999999999998</v>
      </c>
      <c r="I18" s="252">
        <f>'Balance Sheet'!I15-'Balance Sheet'!H15</f>
        <v>19.120000000000005</v>
      </c>
      <c r="J18" s="252">
        <f>'Balance Sheet'!J15-'Balance Sheet'!I15</f>
        <v>26.72</v>
      </c>
      <c r="K18" s="324">
        <f>'Balance Sheet'!K15-'Balance Sheet'!J15</f>
        <v>29.75</v>
      </c>
      <c r="L18" s="335">
        <f>'Balance Sheet'!L15-'Balance Sheet'!K15</f>
        <v>33.510000000000005</v>
      </c>
      <c r="M18" s="336">
        <f>'Balance Sheet'!M15-'Balance Sheet'!L15</f>
        <v>41.639999999999986</v>
      </c>
      <c r="N18" s="335">
        <f>'Balance Sheet'!N15-'Balance Sheet'!M15</f>
        <v>46.510000000000019</v>
      </c>
      <c r="O18" s="337">
        <f>'Balance Sheet'!O15-'Balance Sheet'!N15</f>
        <v>60.66</v>
      </c>
      <c r="P18" s="338">
        <f>'Balance Sheet'!P15-'Balance Sheet'!O15</f>
        <v>55.860000000000014</v>
      </c>
    </row>
    <row r="19" spans="1:16" x14ac:dyDescent="0.3">
      <c r="A19" s="130" t="s">
        <v>122</v>
      </c>
      <c r="C19" s="251">
        <v>29.04</v>
      </c>
      <c r="D19" s="252">
        <f>'Balance Sheet'!D12-'Balance Sheet'!C12</f>
        <v>1.1000000000000014</v>
      </c>
      <c r="E19" s="252">
        <f>'Balance Sheet'!E12-'Balance Sheet'!D12</f>
        <v>0</v>
      </c>
      <c r="F19" s="252">
        <f>'Balance Sheet'!F12-'Balance Sheet'!E12</f>
        <v>4.3999999999999986</v>
      </c>
      <c r="G19" s="252">
        <f>'Balance Sheet'!G12-'Balance Sheet'!F12</f>
        <v>0</v>
      </c>
      <c r="H19" s="252">
        <f>'Balance Sheet'!H12-'Balance Sheet'!G12</f>
        <v>0</v>
      </c>
      <c r="I19" s="252">
        <f>'Balance Sheet'!I12-'Balance Sheet'!H12</f>
        <v>0</v>
      </c>
      <c r="J19" s="252">
        <f>'Balance Sheet'!J12-'Balance Sheet'!I12</f>
        <v>0</v>
      </c>
      <c r="K19" s="324">
        <f>'Balance Sheet'!K12-'Balance Sheet'!J12</f>
        <v>0</v>
      </c>
      <c r="L19" s="335">
        <f>'Balance Sheet'!L12-'Balance Sheet'!K12</f>
        <v>0</v>
      </c>
      <c r="M19" s="336">
        <f>'Balance Sheet'!M12-'Balance Sheet'!L12</f>
        <v>0</v>
      </c>
      <c r="N19" s="335">
        <f>'Balance Sheet'!N12-'Balance Sheet'!M12</f>
        <v>0</v>
      </c>
      <c r="O19" s="337">
        <f>'Balance Sheet'!O12-'Balance Sheet'!N12</f>
        <v>0</v>
      </c>
      <c r="P19" s="338">
        <f>'Balance Sheet'!P12-'Balance Sheet'!O12</f>
        <v>0</v>
      </c>
    </row>
    <row r="20" spans="1:16" x14ac:dyDescent="0.3">
      <c r="A20" s="130" t="s">
        <v>123</v>
      </c>
      <c r="C20" s="251">
        <v>0</v>
      </c>
      <c r="D20" s="252">
        <v>0</v>
      </c>
      <c r="E20" s="252">
        <f>-'Balance Sheet'!E28</f>
        <v>-0.20279999999999998</v>
      </c>
      <c r="F20" s="252">
        <f>-'Balance Sheet'!F28</f>
        <v>-0.3105</v>
      </c>
      <c r="G20" s="252">
        <f>-'Balance Sheet'!G28</f>
        <v>-0.41399999999999998</v>
      </c>
      <c r="H20" s="252">
        <f>-'Balance Sheet'!H28</f>
        <v>-0.51749999999999996</v>
      </c>
      <c r="I20" s="252">
        <f>-'Balance Sheet'!I28</f>
        <v>-0.69000000000000006</v>
      </c>
      <c r="J20" s="252">
        <f>-'Balance Sheet'!J28</f>
        <v>-0.86250000000000004</v>
      </c>
      <c r="K20" s="324">
        <f>-'Balance Sheet'!K28</f>
        <v>-1.2075</v>
      </c>
      <c r="L20" s="335">
        <f>-'Balance Sheet'!L28</f>
        <v>-1.5525000000000002</v>
      </c>
      <c r="M20" s="336">
        <f>-'Balance Sheet'!M28</f>
        <v>-1.8975000000000002</v>
      </c>
      <c r="N20" s="335">
        <f>-'Balance Sheet'!N28</f>
        <v>-2.2425000000000002</v>
      </c>
      <c r="O20" s="337">
        <f>-'Balance Sheet'!O28</f>
        <v>-3.45</v>
      </c>
      <c r="P20" s="338">
        <f>-'Balance Sheet'!P28</f>
        <v>-5.1750000000000007</v>
      </c>
    </row>
    <row r="21" spans="1:16" ht="15" thickBot="1" x14ac:dyDescent="0.35">
      <c r="A21" s="230" t="s">
        <v>124</v>
      </c>
      <c r="B21" s="49"/>
      <c r="C21" s="57">
        <f>C18+C19+C20</f>
        <v>33.89</v>
      </c>
      <c r="D21" s="58">
        <f>D18+D19+D20</f>
        <v>0.53000000000000203</v>
      </c>
      <c r="E21" s="58">
        <f>E18+E19+E20</f>
        <v>10.0472</v>
      </c>
      <c r="F21" s="58">
        <f t="shared" ref="F21:K21" si="2">F18+F19+F20</f>
        <v>5.1594999999999986</v>
      </c>
      <c r="G21" s="58">
        <f t="shared" si="2"/>
        <v>4.3260000000000005</v>
      </c>
      <c r="H21" s="58">
        <f t="shared" si="2"/>
        <v>12.472499999999998</v>
      </c>
      <c r="I21" s="58">
        <f t="shared" si="2"/>
        <v>18.430000000000003</v>
      </c>
      <c r="J21" s="58">
        <f t="shared" si="2"/>
        <v>25.857499999999998</v>
      </c>
      <c r="K21" s="59">
        <f t="shared" si="2"/>
        <v>28.5425</v>
      </c>
      <c r="L21" s="388">
        <f>L18+L19+L20</f>
        <v>31.957500000000003</v>
      </c>
      <c r="M21" s="389">
        <f>M18+M19+M20</f>
        <v>39.742499999999986</v>
      </c>
      <c r="N21" s="388">
        <f>N18+N19+N20</f>
        <v>44.26750000000002</v>
      </c>
      <c r="O21" s="390">
        <f>O18+O19+O20</f>
        <v>57.209999999999994</v>
      </c>
      <c r="P21" s="391">
        <f>P18+P19+P20</f>
        <v>50.685000000000016</v>
      </c>
    </row>
    <row r="22" spans="1:16" ht="15" thickBot="1" x14ac:dyDescent="0.35">
      <c r="A22" s="231" t="s">
        <v>125</v>
      </c>
      <c r="B22" s="102"/>
      <c r="C22" s="103">
        <f>C10+C15+C21</f>
        <v>31.610000000000007</v>
      </c>
      <c r="D22" s="104">
        <f>D10+D15+D21</f>
        <v>4.5700000000000012</v>
      </c>
      <c r="E22" s="104">
        <f>E10+E15+E21</f>
        <v>-3.58</v>
      </c>
      <c r="F22" s="104">
        <f t="shared" ref="F22:K22" si="3">F10+F15+F21</f>
        <v>14.579999999999998</v>
      </c>
      <c r="G22" s="104">
        <f t="shared" si="3"/>
        <v>8.2560000000000002</v>
      </c>
      <c r="H22" s="104">
        <f t="shared" si="3"/>
        <v>8.3070999999999913</v>
      </c>
      <c r="I22" s="104">
        <f t="shared" si="3"/>
        <v>14.083750000000016</v>
      </c>
      <c r="J22" s="104">
        <f t="shared" si="3"/>
        <v>20.498749999999998</v>
      </c>
      <c r="K22" s="105">
        <f t="shared" si="3"/>
        <v>28.895574999999997</v>
      </c>
      <c r="L22" s="104">
        <f>L10+L15+L21</f>
        <v>46.768088125000013</v>
      </c>
      <c r="M22" s="103">
        <f>M10+M15+M21</f>
        <v>66.054366281250026</v>
      </c>
      <c r="N22" s="104">
        <f>N10+N15+N21</f>
        <v>50.440763345312519</v>
      </c>
      <c r="O22" s="105">
        <f>O10+O15+O21</f>
        <v>67.983310887578114</v>
      </c>
      <c r="P22" s="106">
        <f>P10+P15+P21</f>
        <v>77.080656431957067</v>
      </c>
    </row>
  </sheetData>
  <mergeCells count="1">
    <mergeCell ref="A1:K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77BB-4F0D-4A4A-8EA8-DE73DC44BA16}">
  <sheetPr>
    <tabColor rgb="FF1B3A5C"/>
  </sheetPr>
  <dimension ref="A1:P116"/>
  <sheetViews>
    <sheetView zoomScale="97" workbookViewId="0">
      <pane ySplit="3" topLeftCell="A103" activePane="bottomLeft" state="frozen"/>
      <selection pane="bottomLeft" activeCell="G107" sqref="G107"/>
    </sheetView>
  </sheetViews>
  <sheetFormatPr defaultRowHeight="14.4" x14ac:dyDescent="0.3"/>
  <cols>
    <col min="1" max="1" width="46.33203125" customWidth="1"/>
    <col min="2" max="2" width="18.5546875" customWidth="1"/>
    <col min="3" max="16" width="15.77734375" customWidth="1"/>
  </cols>
  <sheetData>
    <row r="1" spans="1:16" ht="31.95" customHeight="1" x14ac:dyDescent="0.35">
      <c r="A1" s="547" t="s">
        <v>126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</row>
    <row r="2" spans="1:16" ht="18" customHeight="1" x14ac:dyDescent="0.3">
      <c r="A2" s="489" t="s">
        <v>127</v>
      </c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8"/>
      <c r="M2" s="488"/>
      <c r="N2" s="488"/>
      <c r="O2" s="488"/>
      <c r="P2" s="488"/>
    </row>
    <row r="3" spans="1:16" ht="22.05" customHeight="1" x14ac:dyDescent="0.3">
      <c r="A3" s="129" t="s">
        <v>128</v>
      </c>
      <c r="B3" s="9"/>
      <c r="C3" s="10" t="s">
        <v>64</v>
      </c>
      <c r="D3" s="10" t="s">
        <v>3</v>
      </c>
      <c r="E3" s="10" t="s">
        <v>4</v>
      </c>
      <c r="F3" s="10" t="s">
        <v>5</v>
      </c>
      <c r="G3" s="123" t="s">
        <v>6</v>
      </c>
      <c r="H3" s="123" t="s">
        <v>7</v>
      </c>
      <c r="I3" s="123" t="s">
        <v>8</v>
      </c>
      <c r="J3" s="123" t="s">
        <v>9</v>
      </c>
      <c r="K3" s="123" t="s">
        <v>65</v>
      </c>
      <c r="L3" s="123" t="s">
        <v>236</v>
      </c>
      <c r="M3" s="123" t="s">
        <v>237</v>
      </c>
      <c r="N3" s="123" t="s">
        <v>238</v>
      </c>
      <c r="O3" s="123" t="s">
        <v>239</v>
      </c>
      <c r="P3" s="133" t="s">
        <v>240</v>
      </c>
    </row>
    <row r="4" spans="1:16" x14ac:dyDescent="0.3">
      <c r="A4" s="130" t="s">
        <v>10</v>
      </c>
      <c r="B4" s="124"/>
      <c r="C4" s="108">
        <f>'Income Statement'!C6</f>
        <v>8.5100000000000016</v>
      </c>
      <c r="D4" s="109">
        <f>'Income Statement'!D6</f>
        <v>11.549999999999999</v>
      </c>
      <c r="E4" s="109">
        <f>'Income Statement'!E6</f>
        <v>13.36</v>
      </c>
      <c r="F4" s="109">
        <f>'Income Statement'!F6</f>
        <v>21.63</v>
      </c>
      <c r="G4" s="109">
        <f>'Income Statement'!G6</f>
        <v>34.24</v>
      </c>
      <c r="H4" s="109">
        <f>'Income Statement'!H6</f>
        <v>56.514599999999994</v>
      </c>
      <c r="I4" s="109">
        <f>'Income Statement'!I6</f>
        <v>75.053750000000008</v>
      </c>
      <c r="J4" s="109">
        <f>'Income Statement'!J6</f>
        <v>94.301249999999996</v>
      </c>
      <c r="K4" s="110">
        <f>'Income Statement'!K6</f>
        <v>113.27307499999999</v>
      </c>
      <c r="L4" s="406">
        <f>'Income Statement'!L6</f>
        <v>132.34058812500001</v>
      </c>
      <c r="M4" s="407">
        <f>'Income Statement'!M6</f>
        <v>158.24186628125003</v>
      </c>
      <c r="N4" s="406">
        <f>'Income Statement'!N6</f>
        <v>189.84326334531249</v>
      </c>
      <c r="O4" s="408">
        <f>'Income Statement'!O6</f>
        <v>219.2833108875781</v>
      </c>
      <c r="P4" s="409">
        <f>'Income Statement'!P6</f>
        <v>250.60565643195704</v>
      </c>
    </row>
    <row r="5" spans="1:16" x14ac:dyDescent="0.3">
      <c r="A5" s="130" t="s">
        <v>129</v>
      </c>
      <c r="B5" s="124"/>
      <c r="C5" s="111">
        <f>'Income Statement'!C12</f>
        <v>3.9300000000000015</v>
      </c>
      <c r="D5" s="112">
        <f>'Income Statement'!D12</f>
        <v>5.5999999999999988</v>
      </c>
      <c r="E5" s="112">
        <f>'Income Statement'!E12</f>
        <v>7.06</v>
      </c>
      <c r="F5" s="112">
        <f>'Income Statement'!F12</f>
        <v>15.059999999999999</v>
      </c>
      <c r="G5" s="112">
        <f>'Income Statement'!G12</f>
        <v>26.380000000000003</v>
      </c>
      <c r="H5" s="112">
        <f>'Income Statement'!H12</f>
        <v>45.784599999999998</v>
      </c>
      <c r="I5" s="112">
        <f>'Income Statement'!I12</f>
        <v>60.813750000000013</v>
      </c>
      <c r="J5" s="112">
        <f>'Income Statement'!J12</f>
        <v>76.391249999999999</v>
      </c>
      <c r="K5" s="113">
        <f>'Income Statement'!K12</f>
        <v>91.773074999999992</v>
      </c>
      <c r="L5" s="410">
        <f>'Income Statement'!L12</f>
        <v>107.22058812500001</v>
      </c>
      <c r="M5" s="411">
        <f>'Income Statement'!M12</f>
        <v>128.20186628125003</v>
      </c>
      <c r="N5" s="410">
        <f>'Income Statement'!N12</f>
        <v>153.81326334531249</v>
      </c>
      <c r="O5" s="412">
        <f>'Income Statement'!O12</f>
        <v>177.6533108875781</v>
      </c>
      <c r="P5" s="413">
        <f>'Income Statement'!P12</f>
        <v>203.03565643195705</v>
      </c>
    </row>
    <row r="6" spans="1:16" x14ac:dyDescent="0.3">
      <c r="A6" s="131" t="s">
        <v>130</v>
      </c>
      <c r="B6" s="107"/>
      <c r="C6" s="114">
        <f>'Income Statement'!C19</f>
        <v>2.4800000000000018</v>
      </c>
      <c r="D6" s="115">
        <f>'Income Statement'!D19</f>
        <v>3.4599999999999986</v>
      </c>
      <c r="E6" s="115">
        <f>'Income Statement'!E19</f>
        <v>4.18</v>
      </c>
      <c r="F6" s="115">
        <f>'Income Statement'!F19</f>
        <v>8.68</v>
      </c>
      <c r="G6" s="115">
        <f>'Income Statement'!G19</f>
        <v>17.560000000000002</v>
      </c>
      <c r="H6" s="115">
        <f>'Income Statement'!H19</f>
        <v>32.164599999999993</v>
      </c>
      <c r="I6" s="115">
        <f>'Income Statement'!I19</f>
        <v>42.193750000000016</v>
      </c>
      <c r="J6" s="115">
        <f>'Income Statement'!J19</f>
        <v>52.241250000000001</v>
      </c>
      <c r="K6" s="116">
        <f>'Income Statement'!K19</f>
        <v>61.643074999999996</v>
      </c>
      <c r="L6" s="115">
        <f>'Income Statement'!L19</f>
        <v>70.990588125000016</v>
      </c>
      <c r="M6" s="114">
        <f>'Income Statement'!M19</f>
        <v>84.071866281250038</v>
      </c>
      <c r="N6" s="115">
        <f>'Income Statement'!N19</f>
        <v>100.22326334531249</v>
      </c>
      <c r="O6" s="116">
        <f>'Income Statement'!O19</f>
        <v>114.41331088757812</v>
      </c>
      <c r="P6" s="134">
        <f>'Income Statement'!P19</f>
        <v>129.31565643195705</v>
      </c>
    </row>
    <row r="7" spans="1:16" x14ac:dyDescent="0.3">
      <c r="A7" s="130" t="s">
        <v>131</v>
      </c>
      <c r="B7" s="124"/>
      <c r="C7" s="117">
        <f>'Income Statement'!C23</f>
        <v>0.86111111111111172</v>
      </c>
      <c r="D7" s="118">
        <f>'Income Statement'!D23</f>
        <v>1.2013888888888884</v>
      </c>
      <c r="E7" s="118">
        <f>'Income Statement'!E23</f>
        <v>1.2366863905325443</v>
      </c>
      <c r="F7" s="118">
        <f>'Income Statement'!F23</f>
        <v>2.5159420289855072</v>
      </c>
      <c r="G7" s="118">
        <f>'Income Statement'!G23</f>
        <v>5.0898550724637683</v>
      </c>
      <c r="H7" s="118">
        <f>'Income Statement'!H23</f>
        <v>9.3230724637681135</v>
      </c>
      <c r="I7" s="118">
        <f>'Income Statement'!I23</f>
        <v>12.230072463768121</v>
      </c>
      <c r="J7" s="118">
        <f>'Income Statement'!J23</f>
        <v>15.142391304347825</v>
      </c>
      <c r="K7" s="119">
        <f>'Income Statement'!K23</f>
        <v>17.867557971014492</v>
      </c>
      <c r="L7" s="414">
        <f>'Income Statement'!L23</f>
        <v>20.576982065217393</v>
      </c>
      <c r="M7" s="415">
        <f>'Income Statement'!M23</f>
        <v>24.368656893115951</v>
      </c>
      <c r="N7" s="414">
        <f>'Income Statement'!N23</f>
        <v>29.050221259510867</v>
      </c>
      <c r="O7" s="416">
        <f>'Income Statement'!O23</f>
        <v>33.163278518138583</v>
      </c>
      <c r="P7" s="417">
        <f>'Income Statement'!P23</f>
        <v>37.482798965784653</v>
      </c>
    </row>
    <row r="8" spans="1:16" x14ac:dyDescent="0.3">
      <c r="A8" s="130" t="s">
        <v>132</v>
      </c>
      <c r="B8" s="124"/>
      <c r="C8" s="117">
        <f>'Balance Sheet'!C25</f>
        <v>13.145833333333334</v>
      </c>
      <c r="D8" s="118">
        <f>'Balance Sheet'!D25</f>
        <v>15.079861111111111</v>
      </c>
      <c r="E8" s="118">
        <f>'Balance Sheet'!E25</f>
        <v>13.8698224852071</v>
      </c>
      <c r="F8" s="118">
        <f>'Balance Sheet'!F25</f>
        <v>24.501449275362319</v>
      </c>
      <c r="G8" s="118">
        <f>'Balance Sheet'!G25</f>
        <v>29.471304347826091</v>
      </c>
      <c r="H8" s="118">
        <f>'Balance Sheet'!H25</f>
        <v>38.644376811594206</v>
      </c>
      <c r="I8" s="118">
        <f>'Balance Sheet'!I25</f>
        <v>50.674449275362321</v>
      </c>
      <c r="J8" s="118">
        <f>'Balance Sheet'!J25</f>
        <v>65.566840579710146</v>
      </c>
      <c r="K8" s="119">
        <f>'Balance Sheet'!K25</f>
        <v>83.084398550724629</v>
      </c>
      <c r="L8" s="418">
        <f>'Balance Sheet'!L25</f>
        <v>103.21138061594203</v>
      </c>
      <c r="M8" s="419">
        <f>'Balance Sheet'!M25</f>
        <v>127.03003750905799</v>
      </c>
      <c r="N8" s="418">
        <f>'Balance Sheet'!N25</f>
        <v>155.43025876856882</v>
      </c>
      <c r="O8" s="420">
        <f>'Balance Sheet'!O25</f>
        <v>187.59353728670743</v>
      </c>
      <c r="P8" s="421">
        <f>'Balance Sheet'!P25</f>
        <v>223.57633625249207</v>
      </c>
    </row>
    <row r="9" spans="1:16" ht="15" thickBot="1" x14ac:dyDescent="0.35">
      <c r="A9" s="132" t="s">
        <v>32</v>
      </c>
      <c r="B9" s="125"/>
      <c r="C9" s="126">
        <f>'Balance Sheet'!C5</f>
        <v>42.01</v>
      </c>
      <c r="D9" s="127">
        <f>'Balance Sheet'!D5</f>
        <v>44.28</v>
      </c>
      <c r="E9" s="127">
        <f>'Balance Sheet'!E5</f>
        <v>55.04</v>
      </c>
      <c r="F9" s="127">
        <f>'Balance Sheet'!F5</f>
        <v>80.69</v>
      </c>
      <c r="G9" s="127">
        <f>'Balance Sheet'!G5</f>
        <v>95</v>
      </c>
      <c r="H9" s="127">
        <f>'Balance Sheet'!H5</f>
        <v>135</v>
      </c>
      <c r="I9" s="127">
        <f>'Balance Sheet'!I5</f>
        <v>185</v>
      </c>
      <c r="J9" s="127">
        <f>'Balance Sheet'!J5</f>
        <v>245</v>
      </c>
      <c r="K9" s="128">
        <f>'Balance Sheet'!K5</f>
        <v>310</v>
      </c>
      <c r="L9" s="422">
        <f>'Balance Sheet'!L5</f>
        <v>370</v>
      </c>
      <c r="M9" s="423">
        <f>'Balance Sheet'!M5</f>
        <v>430</v>
      </c>
      <c r="N9" s="422">
        <f>'Balance Sheet'!N5</f>
        <v>530</v>
      </c>
      <c r="O9" s="424">
        <f>'Balance Sheet'!O5</f>
        <v>640</v>
      </c>
      <c r="P9" s="425">
        <f>'Balance Sheet'!P5</f>
        <v>750</v>
      </c>
    </row>
    <row r="10" spans="1:16" ht="6" customHeight="1" x14ac:dyDescent="0.3"/>
    <row r="11" spans="1:16" ht="22.05" customHeight="1" x14ac:dyDescent="0.3">
      <c r="A11" s="100" t="s">
        <v>133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487"/>
      <c r="M11" s="7"/>
      <c r="N11" s="7"/>
      <c r="O11" s="7"/>
      <c r="P11" s="397"/>
    </row>
    <row r="12" spans="1:16" x14ac:dyDescent="0.3">
      <c r="A12" s="130" t="s">
        <v>17</v>
      </c>
      <c r="C12" s="279"/>
      <c r="D12" s="280">
        <f t="shared" ref="D12:K12" si="0">(D4-C4)/C4</f>
        <v>0.35722679200940033</v>
      </c>
      <c r="E12" s="280">
        <f t="shared" si="0"/>
        <v>0.15670995670995677</v>
      </c>
      <c r="F12" s="280">
        <f t="shared" si="0"/>
        <v>0.61901197604790414</v>
      </c>
      <c r="G12" s="280">
        <f t="shared" si="0"/>
        <v>0.58298659269533071</v>
      </c>
      <c r="H12" s="280">
        <f t="shared" si="0"/>
        <v>0.65054322429906519</v>
      </c>
      <c r="I12" s="280">
        <f t="shared" si="0"/>
        <v>0.32804178035410347</v>
      </c>
      <c r="J12" s="280">
        <f t="shared" si="0"/>
        <v>0.25644954449311308</v>
      </c>
      <c r="K12" s="396">
        <f t="shared" si="0"/>
        <v>0.20118317625694246</v>
      </c>
      <c r="L12" s="398">
        <f>(L4-K4)/K4</f>
        <v>0.16833226364694365</v>
      </c>
      <c r="M12" s="399">
        <f>(M4-L4)/L4</f>
        <v>0.19571681313510117</v>
      </c>
      <c r="N12" s="398">
        <f>(N4-M4)/M4</f>
        <v>0.19970313676594256</v>
      </c>
      <c r="O12" s="400">
        <f>(O4-N4)/N4</f>
        <v>0.15507554507591917</v>
      </c>
      <c r="P12" s="401">
        <f>(P4-O4)/O4</f>
        <v>0.14283962339677209</v>
      </c>
    </row>
    <row r="13" spans="1:16" x14ac:dyDescent="0.3">
      <c r="A13" s="130" t="s">
        <v>14</v>
      </c>
      <c r="C13" s="270"/>
      <c r="D13" s="271">
        <f t="shared" ref="D13:K13" si="1">(D6-C6)/C6</f>
        <v>0.39516129032257913</v>
      </c>
      <c r="E13" s="271">
        <f t="shared" si="1"/>
        <v>0.20809248554913334</v>
      </c>
      <c r="F13" s="271">
        <f t="shared" si="1"/>
        <v>1.0765550239234452</v>
      </c>
      <c r="G13" s="271">
        <f t="shared" si="1"/>
        <v>1.0230414746543781</v>
      </c>
      <c r="H13" s="271">
        <f t="shared" si="1"/>
        <v>0.83169703872437295</v>
      </c>
      <c r="I13" s="271">
        <f t="shared" si="1"/>
        <v>0.31180707983310924</v>
      </c>
      <c r="J13" s="271">
        <f t="shared" si="1"/>
        <v>0.23812768478743845</v>
      </c>
      <c r="K13" s="355">
        <f t="shared" si="1"/>
        <v>0.17996937286148387</v>
      </c>
      <c r="L13" s="370">
        <f>(L6-K6)/K6</f>
        <v>0.15163930619943961</v>
      </c>
      <c r="M13" s="371">
        <f>(M6-L6)/L6</f>
        <v>0.18426778114891154</v>
      </c>
      <c r="N13" s="370">
        <f>(N6-M6)/M6</f>
        <v>0.19211417301039008</v>
      </c>
      <c r="O13" s="372">
        <f>(O6-N6)/N6</f>
        <v>0.14158436942304284</v>
      </c>
      <c r="P13" s="373">
        <f>(P6-O6)/O6</f>
        <v>0.13025010314596955</v>
      </c>
    </row>
    <row r="14" spans="1:16" x14ac:dyDescent="0.3">
      <c r="A14" s="130" t="s">
        <v>134</v>
      </c>
      <c r="C14" s="270">
        <f t="shared" ref="C14:K14" si="2">C5/C4</f>
        <v>0.4618096357226793</v>
      </c>
      <c r="D14" s="271">
        <f t="shared" si="2"/>
        <v>0.48484848484848481</v>
      </c>
      <c r="E14" s="271">
        <f t="shared" si="2"/>
        <v>0.52844311377245512</v>
      </c>
      <c r="F14" s="271">
        <f t="shared" si="2"/>
        <v>0.69625520110957007</v>
      </c>
      <c r="G14" s="271">
        <f t="shared" si="2"/>
        <v>0.77044392523364491</v>
      </c>
      <c r="H14" s="271">
        <f t="shared" si="2"/>
        <v>0.81013755737455462</v>
      </c>
      <c r="I14" s="271">
        <f t="shared" si="2"/>
        <v>0.81026930699665245</v>
      </c>
      <c r="J14" s="271">
        <f t="shared" si="2"/>
        <v>0.81007674871754087</v>
      </c>
      <c r="K14" s="355">
        <f t="shared" si="2"/>
        <v>0.81019319904575737</v>
      </c>
      <c r="L14" s="370">
        <f>L5/L4</f>
        <v>0.81018672838091554</v>
      </c>
      <c r="M14" s="371">
        <f>M5/M4</f>
        <v>0.81016401849932296</v>
      </c>
      <c r="N14" s="370">
        <f>N5/N4</f>
        <v>0.8102118591668761</v>
      </c>
      <c r="O14" s="372">
        <f>O5/O4</f>
        <v>0.81015427105921978</v>
      </c>
      <c r="P14" s="373">
        <f>P5/P4</f>
        <v>0.81017986314719947</v>
      </c>
    </row>
    <row r="15" spans="1:16" x14ac:dyDescent="0.3">
      <c r="A15" s="130" t="s">
        <v>135</v>
      </c>
      <c r="C15" s="270">
        <f t="shared" ref="C15:K15" si="3">C6/C4</f>
        <v>0.29142185663924808</v>
      </c>
      <c r="D15" s="271">
        <f t="shared" si="3"/>
        <v>0.29956709956709948</v>
      </c>
      <c r="E15" s="271">
        <f t="shared" si="3"/>
        <v>0.31287425149700598</v>
      </c>
      <c r="F15" s="271">
        <f t="shared" si="3"/>
        <v>0.40129449838187703</v>
      </c>
      <c r="G15" s="271">
        <f t="shared" si="3"/>
        <v>0.51285046728971961</v>
      </c>
      <c r="H15" s="271">
        <f t="shared" si="3"/>
        <v>0.56913788649304775</v>
      </c>
      <c r="I15" s="271">
        <f t="shared" si="3"/>
        <v>0.56218043735323031</v>
      </c>
      <c r="J15" s="271">
        <f t="shared" si="3"/>
        <v>0.55398258241539744</v>
      </c>
      <c r="K15" s="355">
        <f t="shared" si="3"/>
        <v>0.54419883101081168</v>
      </c>
      <c r="L15" s="370">
        <f>L6/L4</f>
        <v>0.53642339913093851</v>
      </c>
      <c r="M15" s="371">
        <f>M6/M4</f>
        <v>0.53128712556906732</v>
      </c>
      <c r="N15" s="370">
        <f>N6/N4</f>
        <v>0.52792636187997322</v>
      </c>
      <c r="O15" s="372">
        <f>O6/O4</f>
        <v>0.52176023074658606</v>
      </c>
      <c r="P15" s="373">
        <f>P6/P4</f>
        <v>0.51601252051973567</v>
      </c>
    </row>
    <row r="16" spans="1:16" x14ac:dyDescent="0.3">
      <c r="A16" s="130" t="s">
        <v>136</v>
      </c>
      <c r="C16" s="270">
        <f>'Balance Sheet'!C22</f>
        <v>6.5504490227152712E-2</v>
      </c>
      <c r="D16" s="271">
        <f>'Balance Sheet'!D22</f>
        <v>7.9668431959474983E-2</v>
      </c>
      <c r="E16" s="271">
        <f>'Balance Sheet'!E22</f>
        <v>8.9163822525597278E-2</v>
      </c>
      <c r="F16" s="271">
        <f>'Balance Sheet'!F22</f>
        <v>0.10268543712291493</v>
      </c>
      <c r="G16" s="271">
        <f>'Balance Sheet'!G22</f>
        <v>0.17270545654825131</v>
      </c>
      <c r="H16" s="271">
        <f>'Balance Sheet'!H22</f>
        <v>0.24125301616899089</v>
      </c>
      <c r="I16" s="271">
        <f>'Balance Sheet'!I22</f>
        <v>0.24134593742322769</v>
      </c>
      <c r="J16" s="271">
        <f>'Balance Sheet'!J22</f>
        <v>0.23094587401903402</v>
      </c>
      <c r="K16" s="355">
        <f>'Balance Sheet'!K22</f>
        <v>0.21505310603056244</v>
      </c>
      <c r="L16" s="370">
        <f>'Balance Sheet'!L22</f>
        <v>0.19936737540393948</v>
      </c>
      <c r="M16" s="371">
        <f>'Balance Sheet'!M22</f>
        <v>0.19183381640250499</v>
      </c>
      <c r="N16" s="370">
        <f>'Balance Sheet'!N22</f>
        <v>0.18690196805736395</v>
      </c>
      <c r="O16" s="372">
        <f>'Balance Sheet'!O22</f>
        <v>0.17678262800414971</v>
      </c>
      <c r="P16" s="373">
        <f>'Balance Sheet'!P22</f>
        <v>0.16765101170391353</v>
      </c>
    </row>
    <row r="17" spans="1:16" x14ac:dyDescent="0.3">
      <c r="A17" s="130" t="s">
        <v>137</v>
      </c>
      <c r="C17" s="270">
        <f>'Balance Sheet'!C23</f>
        <v>5.4089422028353373E-2</v>
      </c>
      <c r="D17" s="271">
        <f>'Balance Sheet'!D23</f>
        <v>6.5468306527909165E-2</v>
      </c>
      <c r="E17" s="271">
        <f>'Balance Sheet'!E23</f>
        <v>6.4436565438569446E-2</v>
      </c>
      <c r="F17" s="271">
        <f>'Balance Sheet'!F23</f>
        <v>8.2103670071887999E-2</v>
      </c>
      <c r="G17" s="271">
        <f>'Balance Sheet'!G23</f>
        <v>0.135414417471236</v>
      </c>
      <c r="H17" s="271">
        <f>'Balance Sheet'!H23</f>
        <v>0.17971751062031108</v>
      </c>
      <c r="I17" s="271">
        <f>'Balance Sheet'!I23</f>
        <v>0.1730834982895218</v>
      </c>
      <c r="J17" s="271">
        <f>'Balance Sheet'!J23</f>
        <v>0.16062092769279585</v>
      </c>
      <c r="K17" s="355">
        <f>'Balance Sheet'!K23</f>
        <v>0.1468422365000884</v>
      </c>
      <c r="L17" s="370">
        <f>'Balance Sheet'!L23</f>
        <v>0.13473019567727496</v>
      </c>
      <c r="M17" s="371">
        <f>'Balance Sheet'!M23</f>
        <v>0.12863608453491773</v>
      </c>
      <c r="N17" s="370">
        <f>'Balance Sheet'!N23</f>
        <v>0.12456216278234812</v>
      </c>
      <c r="O17" s="372">
        <f>'Balance Sheet'!O23</f>
        <v>0.11642896361059241</v>
      </c>
      <c r="P17" s="373">
        <f>'Balance Sheet'!P23</f>
        <v>0.11059063198502614</v>
      </c>
    </row>
    <row r="18" spans="1:16" x14ac:dyDescent="0.3">
      <c r="A18" s="130" t="s">
        <v>138</v>
      </c>
      <c r="C18" s="272">
        <f>'Balance Sheet'!C24</f>
        <v>0.12810353935552032</v>
      </c>
      <c r="D18" s="273">
        <f>'Balance Sheet'!D24</f>
        <v>9.8549389822703212E-2</v>
      </c>
      <c r="E18" s="273">
        <f>'Balance Sheet'!E24</f>
        <v>0.30994027303754268</v>
      </c>
      <c r="F18" s="273">
        <f>'Balance Sheet'!F24</f>
        <v>0.18454986395362594</v>
      </c>
      <c r="G18" s="273">
        <f>'Balance Sheet'!G24</f>
        <v>0.20004720878083321</v>
      </c>
      <c r="H18" s="273">
        <f>'Balance Sheet'!H24</f>
        <v>0.24999418705385634</v>
      </c>
      <c r="I18" s="273">
        <f>'Balance Sheet'!I24</f>
        <v>0.30001112529339746</v>
      </c>
      <c r="J18" s="273">
        <f>'Balance Sheet'!J24</f>
        <v>0.34999133531619026</v>
      </c>
      <c r="K18" s="356">
        <f>'Balance Sheet'!K24</f>
        <v>0.3799872785199126</v>
      </c>
      <c r="L18" s="374">
        <f>'Balance Sheet'!L24</f>
        <v>0.39999521103816876</v>
      </c>
      <c r="M18" s="375">
        <f>'Balance Sheet'!M24</f>
        <v>0.42000793068018549</v>
      </c>
      <c r="N18" s="374">
        <f>'Balance Sheet'!N24</f>
        <v>0.42999852884637291</v>
      </c>
      <c r="O18" s="376">
        <f>'Balance Sheet'!O24</f>
        <v>0.45000159667189937</v>
      </c>
      <c r="P18" s="377">
        <f>'Balance Sheet'!P24</f>
        <v>0.44999706739336326</v>
      </c>
    </row>
    <row r="19" spans="1:16" x14ac:dyDescent="0.3">
      <c r="A19" s="130" t="s">
        <v>139</v>
      </c>
      <c r="C19" s="270"/>
      <c r="D19" s="271">
        <f t="shared" ref="D19:K19" si="4">(D9-C9)/C9</f>
        <v>5.4034753630088153E-2</v>
      </c>
      <c r="E19" s="271">
        <f t="shared" si="4"/>
        <v>0.2429990966576332</v>
      </c>
      <c r="F19" s="271">
        <f t="shared" si="4"/>
        <v>0.46602470930232559</v>
      </c>
      <c r="G19" s="271">
        <f t="shared" si="4"/>
        <v>0.17734539595984636</v>
      </c>
      <c r="H19" s="271">
        <f t="shared" si="4"/>
        <v>0.42105263157894735</v>
      </c>
      <c r="I19" s="271">
        <f t="shared" si="4"/>
        <v>0.37037037037037035</v>
      </c>
      <c r="J19" s="271">
        <f t="shared" si="4"/>
        <v>0.32432432432432434</v>
      </c>
      <c r="K19" s="355">
        <f t="shared" si="4"/>
        <v>0.26530612244897961</v>
      </c>
      <c r="L19" s="402">
        <f>(L9-K9)/K9</f>
        <v>0.19354838709677419</v>
      </c>
      <c r="M19" s="403">
        <f>(M9-L9)/L9</f>
        <v>0.16216216216216217</v>
      </c>
      <c r="N19" s="402">
        <f>(N9-M9)/M9</f>
        <v>0.23255813953488372</v>
      </c>
      <c r="O19" s="404">
        <f>(O9-N9)/N9</f>
        <v>0.20754716981132076</v>
      </c>
      <c r="P19" s="405">
        <f>(P9-O9)/O9</f>
        <v>0.171875</v>
      </c>
    </row>
    <row r="20" spans="1:16" ht="15" thickBot="1" x14ac:dyDescent="0.35">
      <c r="A20" s="132" t="s">
        <v>140</v>
      </c>
      <c r="B20" s="265"/>
      <c r="C20" s="274">
        <f>'Cash Flow'!C10</f>
        <v>-1.6999999999999957</v>
      </c>
      <c r="D20" s="275">
        <f>'Cash Flow'!D10</f>
        <v>4.2199999999999989</v>
      </c>
      <c r="E20" s="275">
        <f>'Cash Flow'!E10</f>
        <v>-13.747199999999999</v>
      </c>
      <c r="F20" s="275">
        <f>'Cash Flow'!F10</f>
        <v>9.6305000000000014</v>
      </c>
      <c r="G20" s="275">
        <f>'Cash Flow'!G10</f>
        <v>5.0200000000000005</v>
      </c>
      <c r="H20" s="275">
        <f>'Cash Flow'!H10</f>
        <v>-3.5354000000000063</v>
      </c>
      <c r="I20" s="275">
        <f>'Cash Flow'!I10</f>
        <v>-3.6462499999999878</v>
      </c>
      <c r="J20" s="275">
        <f>'Cash Flow'!J10</f>
        <v>-4.588750000000001</v>
      </c>
      <c r="K20" s="357">
        <f>'Cash Flow'!K10</f>
        <v>1.1430749999999961</v>
      </c>
      <c r="L20" s="382">
        <f>'Cash Flow'!L10</f>
        <v>15.620588125000008</v>
      </c>
      <c r="M20" s="383">
        <f>'Cash Flow'!M10</f>
        <v>27.191866281250039</v>
      </c>
      <c r="N20" s="382">
        <f>'Cash Flow'!N10</f>
        <v>7.5732633453125011</v>
      </c>
      <c r="O20" s="384">
        <f>'Cash Flow'!O10</f>
        <v>12.243310887578126</v>
      </c>
      <c r="P20" s="385">
        <f>'Cash Flow'!P10</f>
        <v>27.885656431957052</v>
      </c>
    </row>
    <row r="21" spans="1:16" ht="6" customHeight="1" x14ac:dyDescent="0.3"/>
    <row r="22" spans="1:16" ht="28.05" customHeight="1" x14ac:dyDescent="0.35">
      <c r="A22" s="542" t="s">
        <v>141</v>
      </c>
      <c r="B22" s="542"/>
      <c r="C22" s="542"/>
      <c r="D22" s="542"/>
      <c r="E22" s="542"/>
      <c r="F22" s="542"/>
      <c r="G22" s="542"/>
      <c r="H22" s="542"/>
      <c r="I22" s="542"/>
      <c r="J22" s="542"/>
      <c r="K22" s="542"/>
      <c r="L22" s="542"/>
      <c r="M22" s="542"/>
      <c r="N22" s="542"/>
      <c r="O22" s="542"/>
      <c r="P22" s="542"/>
    </row>
    <row r="23" spans="1:16" ht="6" customHeight="1" thickBot="1" x14ac:dyDescent="0.35"/>
    <row r="24" spans="1:16" ht="22.05" customHeight="1" x14ac:dyDescent="0.3">
      <c r="A24" s="100" t="s">
        <v>166</v>
      </c>
      <c r="B24" s="9"/>
      <c r="C24" s="9"/>
      <c r="D24" s="9"/>
      <c r="E24" s="9"/>
      <c r="F24" s="10" t="s">
        <v>6</v>
      </c>
      <c r="G24" s="10" t="s">
        <v>7</v>
      </c>
      <c r="H24" s="10" t="s">
        <v>8</v>
      </c>
      <c r="I24" s="10" t="s">
        <v>9</v>
      </c>
      <c r="J24" s="10" t="s">
        <v>65</v>
      </c>
      <c r="K24" s="10" t="s">
        <v>65</v>
      </c>
      <c r="L24" s="484" t="s">
        <v>236</v>
      </c>
      <c r="M24" s="484" t="s">
        <v>237</v>
      </c>
      <c r="N24" s="484" t="s">
        <v>238</v>
      </c>
      <c r="O24" s="484" t="s">
        <v>239</v>
      </c>
      <c r="P24" s="485" t="s">
        <v>240</v>
      </c>
    </row>
    <row r="25" spans="1:16" x14ac:dyDescent="0.3">
      <c r="A25" s="130" t="s">
        <v>142</v>
      </c>
      <c r="B25" s="135">
        <v>0.14000000000000001</v>
      </c>
      <c r="L25" s="432"/>
      <c r="M25" s="433"/>
      <c r="N25" s="433"/>
      <c r="O25" s="434"/>
      <c r="P25" s="435"/>
    </row>
    <row r="26" spans="1:16" x14ac:dyDescent="0.3">
      <c r="A26" s="130" t="s">
        <v>143</v>
      </c>
      <c r="B26" s="135">
        <v>0.05</v>
      </c>
      <c r="L26" s="436"/>
      <c r="M26" s="437"/>
      <c r="N26" s="437"/>
      <c r="O26" s="438"/>
      <c r="P26" s="439"/>
    </row>
    <row r="27" spans="1:16" x14ac:dyDescent="0.3">
      <c r="A27" s="130" t="s">
        <v>167</v>
      </c>
      <c r="B27" s="281">
        <f>G8</f>
        <v>29.471304347826091</v>
      </c>
      <c r="G27" s="2"/>
      <c r="H27" s="2">
        <f>'Cash Flow'!H22</f>
        <v>8.3070999999999913</v>
      </c>
      <c r="I27" s="2">
        <f>'Cash Flow'!I22</f>
        <v>14.083750000000016</v>
      </c>
      <c r="J27" s="2">
        <f>'Cash Flow'!J22</f>
        <v>20.498749999999998</v>
      </c>
      <c r="K27" s="2">
        <f>'Cash Flow'!K22</f>
        <v>28.895574999999997</v>
      </c>
      <c r="L27" s="336">
        <f>'Cash Flow'!L22</f>
        <v>46.768088125000013</v>
      </c>
      <c r="M27" s="335">
        <f>'Cash Flow'!M22</f>
        <v>66.054366281250026</v>
      </c>
      <c r="N27" s="335">
        <f>'Cash Flow'!N22</f>
        <v>50.440763345312519</v>
      </c>
      <c r="O27" s="337">
        <f>'Cash Flow'!O22</f>
        <v>67.983310887578114</v>
      </c>
      <c r="P27" s="338">
        <f>'Cash Flow'!P22</f>
        <v>77.080656431957067</v>
      </c>
    </row>
    <row r="28" spans="1:16" x14ac:dyDescent="0.3">
      <c r="A28" s="130" t="s">
        <v>168</v>
      </c>
      <c r="G28" s="282">
        <f t="shared" ref="G28:P28" si="5">(G16-$B$25)*F8</f>
        <v>0.80133108464454561</v>
      </c>
      <c r="H28" s="282">
        <f t="shared" si="5"/>
        <v>2.9840584556516863</v>
      </c>
      <c r="I28" s="282">
        <f t="shared" si="5"/>
        <v>3.9164505941074568</v>
      </c>
      <c r="J28" s="282">
        <f t="shared" si="5"/>
        <v>4.6086320797810307</v>
      </c>
      <c r="K28" s="282">
        <f t="shared" si="5"/>
        <v>4.9209950381179688</v>
      </c>
      <c r="L28" s="379">
        <f t="shared" si="5"/>
        <v>4.9325026789713933</v>
      </c>
      <c r="M28" s="378">
        <f t="shared" si="5"/>
        <v>5.3498397534958002</v>
      </c>
      <c r="N28" s="378">
        <f t="shared" si="5"/>
        <v>5.95795876157558</v>
      </c>
      <c r="O28" s="380">
        <f t="shared" si="5"/>
        <v>5.7171333888729929</v>
      </c>
      <c r="P28" s="381">
        <f t="shared" si="5"/>
        <v>5.1871510950932835</v>
      </c>
    </row>
    <row r="29" spans="1:16" x14ac:dyDescent="0.3">
      <c r="A29" s="130" t="s">
        <v>144</v>
      </c>
      <c r="G29" s="283">
        <f>1/(1+$B$25)^1</f>
        <v>0.8771929824561403</v>
      </c>
      <c r="H29" s="283">
        <f>1/(1+$B$25)^2</f>
        <v>0.76946752847029842</v>
      </c>
      <c r="I29" s="283">
        <f>1/(1+$B$25)^3</f>
        <v>0.67497151620201612</v>
      </c>
      <c r="J29" s="283">
        <f>1/(1+$B$25)^4</f>
        <v>0.59208027737018942</v>
      </c>
      <c r="K29" s="283">
        <f>1/(1+$B$25)^5</f>
        <v>0.51936866435981521</v>
      </c>
      <c r="L29" s="426">
        <f>1/(1+$B$25)^6</f>
        <v>0.45558654768404844</v>
      </c>
      <c r="M29" s="427">
        <f>1/(1+$B$25)^7</f>
        <v>0.39963732252986695</v>
      </c>
      <c r="N29" s="427">
        <f>1/(1+$B$25)^8</f>
        <v>0.35055905485076044</v>
      </c>
      <c r="O29" s="428">
        <f>1/(1+$B$25)^9</f>
        <v>0.3075079428515442</v>
      </c>
      <c r="P29" s="429">
        <f>1/(1+$B$25)^10</f>
        <v>0.26974380951889843</v>
      </c>
    </row>
    <row r="30" spans="1:16" x14ac:dyDescent="0.3">
      <c r="A30" s="130" t="s">
        <v>169</v>
      </c>
      <c r="G30" s="282">
        <f t="shared" ref="G30:P30" si="6">G28*G29</f>
        <v>0.70292200407416283</v>
      </c>
      <c r="H30" s="282">
        <f t="shared" si="6"/>
        <v>2.2961360846811987</v>
      </c>
      <c r="I30" s="282">
        <f t="shared" si="6"/>
        <v>2.6434925956349971</v>
      </c>
      <c r="J30" s="282">
        <f t="shared" si="6"/>
        <v>2.7286801600939055</v>
      </c>
      <c r="K30" s="282">
        <f t="shared" si="6"/>
        <v>2.5558106202686073</v>
      </c>
      <c r="L30" s="379">
        <f t="shared" si="6"/>
        <v>2.2471818669548975</v>
      </c>
      <c r="M30" s="378">
        <f t="shared" si="6"/>
        <v>2.1379956350509048</v>
      </c>
      <c r="N30" s="378">
        <f t="shared" si="6"/>
        <v>2.0886163922977423</v>
      </c>
      <c r="O30" s="380">
        <f t="shared" si="6"/>
        <v>1.7580639274202114</v>
      </c>
      <c r="P30" s="381">
        <f t="shared" si="6"/>
        <v>1.3992018969405879</v>
      </c>
    </row>
    <row r="31" spans="1:16" x14ac:dyDescent="0.3">
      <c r="A31" s="130" t="s">
        <v>170</v>
      </c>
      <c r="K31" s="282"/>
      <c r="L31" s="436"/>
      <c r="M31" s="437"/>
      <c r="N31" s="437"/>
      <c r="O31" s="438"/>
      <c r="P31" s="381">
        <f>P28*(1+$B$26)/($B$25-$B$26)*P29</f>
        <v>16.324022130973525</v>
      </c>
    </row>
    <row r="32" spans="1:16" x14ac:dyDescent="0.3">
      <c r="A32" s="232" t="s">
        <v>171</v>
      </c>
      <c r="B32" s="136"/>
      <c r="C32" s="136"/>
      <c r="D32" s="136"/>
      <c r="E32" s="136"/>
      <c r="F32" s="136"/>
      <c r="G32" s="137">
        <f>$B$27+SUM(G30:P30)+P31</f>
        <v>66.353427662216831</v>
      </c>
      <c r="H32" s="136"/>
      <c r="I32" s="136"/>
      <c r="J32" s="136"/>
      <c r="K32" s="136"/>
      <c r="L32" s="436"/>
      <c r="M32" s="437"/>
      <c r="N32" s="437"/>
      <c r="O32" s="438"/>
      <c r="P32" s="439"/>
    </row>
    <row r="33" spans="1:16" x14ac:dyDescent="0.3">
      <c r="A33" s="130" t="s">
        <v>34</v>
      </c>
      <c r="G33" s="284">
        <f>Assumptions!F56</f>
        <v>3.45</v>
      </c>
      <c r="H33" s="3"/>
      <c r="I33" s="3"/>
      <c r="J33" s="3"/>
      <c r="K33" s="3"/>
      <c r="L33" s="436"/>
      <c r="M33" s="437"/>
      <c r="N33" s="437"/>
      <c r="O33" s="438"/>
      <c r="P33" s="439"/>
    </row>
    <row r="34" spans="1:16" ht="15.6" x14ac:dyDescent="0.3">
      <c r="A34" s="232" t="s">
        <v>172</v>
      </c>
      <c r="G34" s="138">
        <f>G32*G33</f>
        <v>228.91932543464807</v>
      </c>
      <c r="L34" s="440"/>
      <c r="M34" s="441"/>
      <c r="N34" s="441"/>
      <c r="O34" s="442"/>
      <c r="P34" s="443"/>
    </row>
    <row r="35" spans="1:16" ht="15" thickBot="1" x14ac:dyDescent="0.35">
      <c r="A35" s="233" t="s">
        <v>173</v>
      </c>
      <c r="G35" s="144">
        <f>G32</f>
        <v>66.353427662216831</v>
      </c>
      <c r="K35" s="265"/>
      <c r="L35" s="444"/>
      <c r="M35" s="444"/>
      <c r="N35" s="444"/>
      <c r="O35" s="444"/>
      <c r="P35" s="445"/>
    </row>
    <row r="36" spans="1:16" ht="22.05" customHeight="1" x14ac:dyDescent="0.3">
      <c r="A36" s="145" t="s">
        <v>185</v>
      </c>
      <c r="B36" s="140"/>
      <c r="C36" s="140"/>
      <c r="D36" s="140"/>
      <c r="E36" s="140"/>
      <c r="F36" s="140"/>
      <c r="G36" s="79" t="s">
        <v>6</v>
      </c>
      <c r="H36" s="79" t="s">
        <v>7</v>
      </c>
      <c r="I36" s="79" t="s">
        <v>8</v>
      </c>
      <c r="J36" s="79" t="s">
        <v>9</v>
      </c>
      <c r="K36" s="79" t="s">
        <v>65</v>
      </c>
      <c r="L36" s="79" t="s">
        <v>236</v>
      </c>
      <c r="M36" s="79" t="s">
        <v>237</v>
      </c>
      <c r="N36" s="79" t="s">
        <v>238</v>
      </c>
      <c r="O36" s="79" t="s">
        <v>239</v>
      </c>
      <c r="P36" s="82" t="s">
        <v>240</v>
      </c>
    </row>
    <row r="37" spans="1:16" x14ac:dyDescent="0.3">
      <c r="A37" s="130" t="s">
        <v>142</v>
      </c>
      <c r="B37" s="141">
        <f>B25</f>
        <v>0.14000000000000001</v>
      </c>
      <c r="L37" s="5"/>
      <c r="M37" s="5"/>
      <c r="N37" s="5"/>
      <c r="O37" s="5"/>
      <c r="P37" s="452"/>
    </row>
    <row r="38" spans="1:16" x14ac:dyDescent="0.3">
      <c r="A38" s="130" t="s">
        <v>143</v>
      </c>
      <c r="B38" s="141">
        <f>B26</f>
        <v>0.05</v>
      </c>
      <c r="L38" s="5"/>
      <c r="M38" s="5"/>
      <c r="N38" s="5"/>
      <c r="O38" s="5"/>
      <c r="P38" s="452"/>
    </row>
    <row r="39" spans="1:16" x14ac:dyDescent="0.3">
      <c r="A39" s="130" t="s">
        <v>34</v>
      </c>
      <c r="B39" s="142">
        <f>G33</f>
        <v>3.45</v>
      </c>
      <c r="L39" s="5"/>
      <c r="M39" s="5"/>
      <c r="N39" s="5"/>
      <c r="O39" s="5"/>
      <c r="P39" s="452"/>
    </row>
    <row r="40" spans="1:16" ht="4.05" customHeight="1" x14ac:dyDescent="0.3">
      <c r="A40" s="130"/>
      <c r="L40" s="5"/>
      <c r="M40" s="5"/>
      <c r="N40" s="5"/>
      <c r="O40" s="5"/>
      <c r="P40" s="452"/>
    </row>
    <row r="41" spans="1:16" ht="19.95" customHeight="1" x14ac:dyDescent="0.3">
      <c r="A41" s="234" t="s">
        <v>186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146"/>
    </row>
    <row r="42" spans="1:16" x14ac:dyDescent="0.3">
      <c r="A42" s="130" t="s">
        <v>187</v>
      </c>
      <c r="G42" s="285">
        <f>'Cash Flow'!G10</f>
        <v>5.0200000000000005</v>
      </c>
      <c r="H42" s="285">
        <f>'Cash Flow'!H10</f>
        <v>-3.5354000000000063</v>
      </c>
      <c r="I42" s="285">
        <f>'Cash Flow'!I10</f>
        <v>-3.6462499999999878</v>
      </c>
      <c r="J42" s="285">
        <f>'Cash Flow'!J10</f>
        <v>-4.588750000000001</v>
      </c>
      <c r="K42" s="285">
        <f>'Cash Flow'!K10</f>
        <v>1.1430749999999961</v>
      </c>
      <c r="L42" s="359">
        <f>'Cash Flow'!L10</f>
        <v>15.620588125000008</v>
      </c>
      <c r="M42" s="358">
        <f>'Cash Flow'!M10</f>
        <v>27.191866281250039</v>
      </c>
      <c r="N42" s="358">
        <f>'Cash Flow'!N10</f>
        <v>7.5732633453125011</v>
      </c>
      <c r="O42" s="358">
        <f>'Cash Flow'!O10</f>
        <v>12.243310887578126</v>
      </c>
      <c r="P42" s="361">
        <f>'Cash Flow'!P10</f>
        <v>27.885656431957052</v>
      </c>
    </row>
    <row r="43" spans="1:16" x14ac:dyDescent="0.3">
      <c r="A43" s="130" t="s">
        <v>188</v>
      </c>
      <c r="G43" s="286">
        <f>'Cash Flow'!G15</f>
        <v>-1.0899999999999999</v>
      </c>
      <c r="H43" s="286">
        <f>'Cash Flow'!H15</f>
        <v>-0.63</v>
      </c>
      <c r="I43" s="286">
        <f>'Cash Flow'!I15</f>
        <v>-0.7</v>
      </c>
      <c r="J43" s="286">
        <f>'Cash Flow'!J15</f>
        <v>-0.77</v>
      </c>
      <c r="K43" s="286">
        <f>'Cash Flow'!K15</f>
        <v>-0.78999999999999992</v>
      </c>
      <c r="L43" s="336">
        <f>'Cash Flow'!L15</f>
        <v>-0.81000000000000016</v>
      </c>
      <c r="M43" s="335">
        <f>'Cash Flow'!M15</f>
        <v>-0.88</v>
      </c>
      <c r="N43" s="335">
        <f>'Cash Flow'!N15</f>
        <v>-1.4</v>
      </c>
      <c r="O43" s="335">
        <f>'Cash Flow'!O15</f>
        <v>-1.4699999999999998</v>
      </c>
      <c r="P43" s="338">
        <f>'Cash Flow'!P15</f>
        <v>-1.4900000000000002</v>
      </c>
    </row>
    <row r="44" spans="1:16" x14ac:dyDescent="0.3">
      <c r="A44" s="130" t="s">
        <v>189</v>
      </c>
      <c r="G44" s="286">
        <f>'Cash Flow'!G18</f>
        <v>4.74</v>
      </c>
      <c r="H44" s="286">
        <f>'Cash Flow'!H18</f>
        <v>12.989999999999998</v>
      </c>
      <c r="I44" s="286">
        <f>'Cash Flow'!I18</f>
        <v>19.120000000000005</v>
      </c>
      <c r="J44" s="286">
        <f>'Cash Flow'!J18</f>
        <v>26.72</v>
      </c>
      <c r="K44" s="286">
        <f>'Cash Flow'!K18</f>
        <v>29.75</v>
      </c>
      <c r="L44" s="336">
        <f>'Cash Flow'!L18</f>
        <v>33.510000000000005</v>
      </c>
      <c r="M44" s="335">
        <f>'Cash Flow'!M18</f>
        <v>41.639999999999986</v>
      </c>
      <c r="N44" s="335">
        <f>'Cash Flow'!N18</f>
        <v>46.510000000000019</v>
      </c>
      <c r="O44" s="335">
        <f>'Cash Flow'!O18</f>
        <v>60.66</v>
      </c>
      <c r="P44" s="338">
        <f>'Cash Flow'!P18</f>
        <v>55.860000000000014</v>
      </c>
    </row>
    <row r="45" spans="1:16" x14ac:dyDescent="0.3">
      <c r="A45" s="130" t="s">
        <v>190</v>
      </c>
      <c r="G45" s="286">
        <f>'Cash Flow'!G19</f>
        <v>0</v>
      </c>
      <c r="H45" s="286">
        <f>'Cash Flow'!H19</f>
        <v>0</v>
      </c>
      <c r="I45" s="286">
        <f>'Cash Flow'!I19</f>
        <v>0</v>
      </c>
      <c r="J45" s="286">
        <f>'Cash Flow'!J19</f>
        <v>0</v>
      </c>
      <c r="K45" s="286">
        <f>'Cash Flow'!K19</f>
        <v>0</v>
      </c>
      <c r="L45" s="336">
        <f>'Cash Flow'!L19</f>
        <v>0</v>
      </c>
      <c r="M45" s="335">
        <f>'Cash Flow'!M19</f>
        <v>0</v>
      </c>
      <c r="N45" s="335">
        <f>'Cash Flow'!N19</f>
        <v>0</v>
      </c>
      <c r="O45" s="335">
        <f>'Cash Flow'!O19</f>
        <v>0</v>
      </c>
      <c r="P45" s="338">
        <f>'Cash Flow'!P19</f>
        <v>0</v>
      </c>
    </row>
    <row r="46" spans="1:16" x14ac:dyDescent="0.3">
      <c r="A46" s="235" t="s">
        <v>191</v>
      </c>
      <c r="B46" s="143"/>
      <c r="C46" s="143"/>
      <c r="D46" s="143"/>
      <c r="E46" s="143"/>
      <c r="F46" s="143"/>
      <c r="G46" s="56">
        <f t="shared" ref="G46:P46" si="7">G42+G43+G44+G45</f>
        <v>8.6700000000000017</v>
      </c>
      <c r="H46" s="56">
        <f t="shared" si="7"/>
        <v>8.8245999999999931</v>
      </c>
      <c r="I46" s="56">
        <f t="shared" si="7"/>
        <v>14.773750000000017</v>
      </c>
      <c r="J46" s="56">
        <f t="shared" si="7"/>
        <v>21.361249999999998</v>
      </c>
      <c r="K46" s="56">
        <f t="shared" si="7"/>
        <v>30.103074999999997</v>
      </c>
      <c r="L46" s="63">
        <f t="shared" si="7"/>
        <v>48.320588125000015</v>
      </c>
      <c r="M46" s="64">
        <f t="shared" si="7"/>
        <v>67.951866281250034</v>
      </c>
      <c r="N46" s="64">
        <f t="shared" si="7"/>
        <v>52.683263345312518</v>
      </c>
      <c r="O46" s="64">
        <f t="shared" si="7"/>
        <v>71.433310887578131</v>
      </c>
      <c r="P46" s="85">
        <f t="shared" si="7"/>
        <v>82.255656431957064</v>
      </c>
    </row>
    <row r="47" spans="1:16" x14ac:dyDescent="0.3">
      <c r="A47" s="236" t="s">
        <v>192</v>
      </c>
      <c r="G47" s="147">
        <f t="shared" ref="G47:P47" si="8">IF(G6&lt;&gt;0,G46/G6,"")</f>
        <v>0.49373576309794992</v>
      </c>
      <c r="H47" s="147">
        <f t="shared" si="8"/>
        <v>0.27435752348855558</v>
      </c>
      <c r="I47" s="147">
        <f t="shared" si="8"/>
        <v>0.35014071989334944</v>
      </c>
      <c r="J47" s="147">
        <f t="shared" si="8"/>
        <v>0.40889622664082498</v>
      </c>
      <c r="K47" s="147">
        <f t="shared" si="8"/>
        <v>0.48834479785442242</v>
      </c>
      <c r="L47" s="446">
        <f t="shared" si="8"/>
        <v>0.68066189337546079</v>
      </c>
      <c r="M47" s="447">
        <f t="shared" si="8"/>
        <v>0.80825928205194209</v>
      </c>
      <c r="N47" s="447">
        <f t="shared" si="8"/>
        <v>0.52565902951888421</v>
      </c>
      <c r="O47" s="447">
        <f t="shared" si="8"/>
        <v>0.62434440829850735</v>
      </c>
      <c r="P47" s="448">
        <f t="shared" si="8"/>
        <v>0.6360842816835417</v>
      </c>
    </row>
    <row r="48" spans="1:16" ht="4.05" customHeight="1" x14ac:dyDescent="0.3">
      <c r="A48" s="130"/>
      <c r="L48" s="5"/>
      <c r="M48" s="5"/>
      <c r="N48" s="5"/>
      <c r="O48" s="5"/>
      <c r="P48" s="452"/>
    </row>
    <row r="49" spans="1:16" ht="19.95" customHeight="1" x14ac:dyDescent="0.3">
      <c r="A49" s="234" t="s">
        <v>193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146"/>
    </row>
    <row r="50" spans="1:16" x14ac:dyDescent="0.3">
      <c r="A50" s="130" t="s">
        <v>194</v>
      </c>
      <c r="G50" s="3">
        <v>1</v>
      </c>
      <c r="H50" s="3">
        <v>2</v>
      </c>
      <c r="I50" s="3">
        <v>3</v>
      </c>
      <c r="J50" s="3">
        <v>4</v>
      </c>
      <c r="K50" s="3">
        <v>5</v>
      </c>
      <c r="L50" s="432">
        <v>6</v>
      </c>
      <c r="M50" s="433">
        <v>7</v>
      </c>
      <c r="N50" s="433">
        <v>8</v>
      </c>
      <c r="O50" s="433">
        <v>9</v>
      </c>
      <c r="P50" s="435">
        <v>10</v>
      </c>
    </row>
    <row r="51" spans="1:16" x14ac:dyDescent="0.3">
      <c r="A51" s="130" t="s">
        <v>195</v>
      </c>
      <c r="G51" s="283">
        <f t="shared" ref="G51:P51" si="9">1/(1+$B$37)^G50</f>
        <v>0.8771929824561403</v>
      </c>
      <c r="H51" s="283">
        <f t="shared" si="9"/>
        <v>0.76946752847029842</v>
      </c>
      <c r="I51" s="283">
        <f t="shared" si="9"/>
        <v>0.67497151620201612</v>
      </c>
      <c r="J51" s="283">
        <f t="shared" si="9"/>
        <v>0.59208027737018942</v>
      </c>
      <c r="K51" s="283">
        <f t="shared" si="9"/>
        <v>0.51936866435981521</v>
      </c>
      <c r="L51" s="426">
        <f t="shared" si="9"/>
        <v>0.45558654768404844</v>
      </c>
      <c r="M51" s="427">
        <f t="shared" si="9"/>
        <v>0.39963732252986695</v>
      </c>
      <c r="N51" s="427">
        <f t="shared" si="9"/>
        <v>0.35055905485076044</v>
      </c>
      <c r="O51" s="427">
        <f t="shared" si="9"/>
        <v>0.3075079428515442</v>
      </c>
      <c r="P51" s="429">
        <f t="shared" si="9"/>
        <v>0.26974380951889843</v>
      </c>
    </row>
    <row r="52" spans="1:16" x14ac:dyDescent="0.3">
      <c r="A52" s="130" t="s">
        <v>196</v>
      </c>
      <c r="G52" s="284">
        <f t="shared" ref="G52:P52" si="10">G46*G51</f>
        <v>7.6052631578947381</v>
      </c>
      <c r="H52" s="284">
        <f t="shared" si="10"/>
        <v>6.7902431517389905</v>
      </c>
      <c r="I52" s="284">
        <f t="shared" si="10"/>
        <v>9.9718604374895481</v>
      </c>
      <c r="J52" s="284">
        <f t="shared" si="10"/>
        <v>12.647574824973958</v>
      </c>
      <c r="K52" s="284">
        <f t="shared" si="10"/>
        <v>15.634593855873343</v>
      </c>
      <c r="L52" s="449">
        <f t="shared" si="10"/>
        <v>22.014209925931585</v>
      </c>
      <c r="M52" s="450">
        <f t="shared" si="10"/>
        <v>27.156101901546311</v>
      </c>
      <c r="N52" s="450">
        <f t="shared" si="10"/>
        <v>18.468595004786469</v>
      </c>
      <c r="O52" s="450">
        <f t="shared" si="10"/>
        <v>21.966310482113965</v>
      </c>
      <c r="P52" s="451">
        <f t="shared" si="10"/>
        <v>22.18795412043378</v>
      </c>
    </row>
    <row r="53" spans="1:16" x14ac:dyDescent="0.3">
      <c r="A53" s="130" t="s">
        <v>197</v>
      </c>
      <c r="B53" s="2">
        <f>P46*(1+$B$38)/($B$37-$B$38)*P51</f>
        <v>258.85946473839408</v>
      </c>
      <c r="L53" s="5"/>
      <c r="M53" s="5"/>
      <c r="N53" s="5"/>
      <c r="O53" s="5"/>
      <c r="P53" s="452"/>
    </row>
    <row r="54" spans="1:16" x14ac:dyDescent="0.3">
      <c r="A54" s="130" t="s">
        <v>198</v>
      </c>
      <c r="B54" s="2">
        <f>SUM(G52:P52)</f>
        <v>164.44270686278267</v>
      </c>
      <c r="L54" s="5"/>
      <c r="M54" s="5"/>
      <c r="N54" s="5"/>
      <c r="O54" s="5"/>
      <c r="P54" s="452"/>
    </row>
    <row r="55" spans="1:16" ht="15" thickBot="1" x14ac:dyDescent="0.35">
      <c r="A55" s="232" t="s">
        <v>199</v>
      </c>
      <c r="B55" s="150">
        <f>B53+B54</f>
        <v>423.30217160117672</v>
      </c>
      <c r="F55" s="136" t="s">
        <v>145</v>
      </c>
      <c r="G55" s="144">
        <f>B55/$B$39</f>
        <v>122.69628162352947</v>
      </c>
      <c r="K55" s="265"/>
      <c r="L55" s="430"/>
      <c r="M55" s="430"/>
      <c r="N55" s="430"/>
      <c r="O55" s="430"/>
      <c r="P55" s="431"/>
    </row>
    <row r="56" spans="1:16" ht="19.95" customHeight="1" x14ac:dyDescent="0.3">
      <c r="A56" s="88" t="s">
        <v>146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</row>
    <row r="57" spans="1:16" x14ac:dyDescent="0.3">
      <c r="A57" s="124" t="s">
        <v>147</v>
      </c>
      <c r="B57" s="281">
        <f>H7</f>
        <v>9.3230724637681135</v>
      </c>
      <c r="D57" s="281" t="s">
        <v>148</v>
      </c>
      <c r="E57" s="281">
        <f>I7</f>
        <v>12.230072463768121</v>
      </c>
      <c r="G57" t="s">
        <v>149</v>
      </c>
      <c r="H57" s="281">
        <f>J7</f>
        <v>15.142391304347825</v>
      </c>
    </row>
    <row r="58" spans="1:16" x14ac:dyDescent="0.3">
      <c r="A58" s="237" t="s">
        <v>174</v>
      </c>
      <c r="B58" s="149">
        <v>20</v>
      </c>
      <c r="D58" s="149" t="s">
        <v>174</v>
      </c>
      <c r="E58" s="148">
        <v>18</v>
      </c>
      <c r="G58" t="s">
        <v>150</v>
      </c>
      <c r="H58" s="148">
        <v>15</v>
      </c>
    </row>
    <row r="59" spans="1:16" x14ac:dyDescent="0.3">
      <c r="A59" s="238" t="s">
        <v>151</v>
      </c>
      <c r="B59" s="137">
        <f>B57*B58</f>
        <v>186.46144927536227</v>
      </c>
      <c r="D59" s="150" t="s">
        <v>151</v>
      </c>
      <c r="E59" s="137">
        <f>E57*E58</f>
        <v>220.14130434782618</v>
      </c>
      <c r="G59" s="136" t="s">
        <v>151</v>
      </c>
      <c r="H59" s="137">
        <f>H57*H58</f>
        <v>227.13586956521738</v>
      </c>
    </row>
    <row r="60" spans="1:16" ht="19.95" customHeight="1" x14ac:dyDescent="0.3">
      <c r="A60" s="239" t="s">
        <v>152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</row>
    <row r="61" spans="1:16" x14ac:dyDescent="0.3">
      <c r="A61" s="124" t="s">
        <v>153</v>
      </c>
      <c r="B61" s="281">
        <f>H8</f>
        <v>38.644376811594206</v>
      </c>
      <c r="D61" s="281">
        <f>I8</f>
        <v>50.674449275362321</v>
      </c>
      <c r="E61" s="281">
        <f>J8</f>
        <v>65.566840579710146</v>
      </c>
    </row>
    <row r="62" spans="1:16" x14ac:dyDescent="0.3">
      <c r="A62" s="237" t="s">
        <v>175</v>
      </c>
      <c r="B62" s="149">
        <v>3</v>
      </c>
      <c r="D62" s="149">
        <v>2.5</v>
      </c>
      <c r="E62" s="148">
        <v>2.5</v>
      </c>
    </row>
    <row r="63" spans="1:16" x14ac:dyDescent="0.3">
      <c r="A63" s="240" t="s">
        <v>151</v>
      </c>
      <c r="B63" s="151">
        <f>B61*B62</f>
        <v>115.93313043478261</v>
      </c>
      <c r="C63" s="287"/>
      <c r="D63" s="152">
        <f>D61*D62</f>
        <v>126.6861231884058</v>
      </c>
      <c r="E63" s="151">
        <f>E61*E62</f>
        <v>163.91710144927538</v>
      </c>
      <c r="F63" s="287"/>
      <c r="G63" s="287"/>
      <c r="H63" s="287"/>
      <c r="I63" s="287"/>
      <c r="J63" s="287"/>
      <c r="K63" s="287"/>
    </row>
    <row r="64" spans="1:16" ht="6" customHeight="1" x14ac:dyDescent="0.3"/>
    <row r="65" spans="1:6" ht="24" customHeight="1" x14ac:dyDescent="0.3">
      <c r="A65" s="161" t="s">
        <v>155</v>
      </c>
      <c r="B65" s="160"/>
      <c r="C65" s="160"/>
      <c r="D65" s="160"/>
      <c r="E65" s="160"/>
      <c r="F65" s="163"/>
    </row>
    <row r="66" spans="1:6" ht="19.95" customHeight="1" x14ac:dyDescent="0.3">
      <c r="A66" s="162" t="s">
        <v>156</v>
      </c>
      <c r="B66" s="143" t="s">
        <v>157</v>
      </c>
      <c r="C66" s="143" t="s">
        <v>158</v>
      </c>
      <c r="D66" s="143" t="s">
        <v>176</v>
      </c>
      <c r="E66" s="143" t="s">
        <v>177</v>
      </c>
      <c r="F66" s="164" t="s">
        <v>159</v>
      </c>
    </row>
    <row r="67" spans="1:6" x14ac:dyDescent="0.3">
      <c r="A67" s="241" t="s">
        <v>241</v>
      </c>
      <c r="B67" s="288">
        <f>G35</f>
        <v>66.353427662216831</v>
      </c>
      <c r="C67" s="289" t="s">
        <v>243</v>
      </c>
      <c r="D67" s="155">
        <v>0.3</v>
      </c>
      <c r="E67" s="288">
        <f>B67*D67</f>
        <v>19.906028298665049</v>
      </c>
      <c r="F67" s="290" t="s">
        <v>178</v>
      </c>
    </row>
    <row r="68" spans="1:6" x14ac:dyDescent="0.3">
      <c r="A68" s="242" t="s">
        <v>242</v>
      </c>
      <c r="B68" s="291">
        <f>G55</f>
        <v>122.69628162352947</v>
      </c>
      <c r="C68" s="43" t="s">
        <v>243</v>
      </c>
      <c r="D68" s="156">
        <v>0.3</v>
      </c>
      <c r="E68" s="291">
        <f>B68*D68</f>
        <v>36.80888448705884</v>
      </c>
      <c r="F68" s="292" t="s">
        <v>274</v>
      </c>
    </row>
    <row r="69" spans="1:6" x14ac:dyDescent="0.3">
      <c r="A69" s="242" t="s">
        <v>179</v>
      </c>
      <c r="B69" s="291">
        <f>B59</f>
        <v>186.46144927536227</v>
      </c>
      <c r="C69" s="43" t="s">
        <v>160</v>
      </c>
      <c r="D69" s="156">
        <v>0.2</v>
      </c>
      <c r="E69" s="291">
        <f>B69*D69</f>
        <v>37.292289855072454</v>
      </c>
      <c r="F69" s="292" t="s">
        <v>180</v>
      </c>
    </row>
    <row r="70" spans="1:6" ht="15" thickBot="1" x14ac:dyDescent="0.35">
      <c r="A70" s="243" t="s">
        <v>181</v>
      </c>
      <c r="B70" s="157">
        <f>B63</f>
        <v>115.93313043478261</v>
      </c>
      <c r="C70" s="293" t="s">
        <v>160</v>
      </c>
      <c r="D70" s="158">
        <v>0.2</v>
      </c>
      <c r="E70" s="159">
        <f>B70*D70</f>
        <v>23.186626086956522</v>
      </c>
      <c r="F70" s="294" t="s">
        <v>182</v>
      </c>
    </row>
    <row r="71" spans="1:6" ht="15" thickBot="1" x14ac:dyDescent="0.35">
      <c r="A71" s="244" t="s">
        <v>211</v>
      </c>
      <c r="B71" s="154">
        <f>ROUND(SUM(E67:E70),2)</f>
        <v>117.19</v>
      </c>
      <c r="C71" s="153" t="s">
        <v>161</v>
      </c>
      <c r="D71" s="153">
        <f>SUM(D67:D70)</f>
        <v>1</v>
      </c>
      <c r="E71" s="154">
        <f>SUM(E67:E70)</f>
        <v>117.19382872775287</v>
      </c>
      <c r="F71" s="165" t="s">
        <v>200</v>
      </c>
    </row>
    <row r="72" spans="1:6" ht="6" customHeight="1" thickTop="1" x14ac:dyDescent="0.3"/>
    <row r="73" spans="1:6" ht="24" customHeight="1" x14ac:dyDescent="0.3">
      <c r="A73" s="171" t="s">
        <v>201</v>
      </c>
      <c r="B73" s="166"/>
      <c r="C73" s="166"/>
      <c r="D73" s="166"/>
      <c r="E73" s="166"/>
      <c r="F73" s="172"/>
    </row>
    <row r="74" spans="1:6" x14ac:dyDescent="0.3">
      <c r="A74" s="245" t="s">
        <v>202</v>
      </c>
      <c r="B74" s="167">
        <v>52</v>
      </c>
      <c r="C74" s="541" t="s">
        <v>297</v>
      </c>
      <c r="F74" s="173"/>
    </row>
    <row r="75" spans="1:6" x14ac:dyDescent="0.3">
      <c r="A75" s="245" t="s">
        <v>203</v>
      </c>
      <c r="B75" s="150">
        <f>B71</f>
        <v>117.19</v>
      </c>
      <c r="F75" s="173"/>
    </row>
    <row r="76" spans="1:6" x14ac:dyDescent="0.3">
      <c r="A76" s="245" t="s">
        <v>204</v>
      </c>
      <c r="B76" s="168">
        <f>(B75-B74)/B74</f>
        <v>1.253653846153846</v>
      </c>
      <c r="F76" s="173"/>
    </row>
    <row r="77" spans="1:6" ht="18.600000000000001" thickBot="1" x14ac:dyDescent="0.4">
      <c r="A77" s="246" t="s">
        <v>205</v>
      </c>
      <c r="B77" s="169" t="str">
        <f>IF(B76&gt;0.4,"BUY",IF(B76&gt;0.2,"BUY",IF(B76&gt;0.1,"OVERWEIGHT",IF(B76&gt;-0.1,"EQUAL-WEIGHT",IF(B76&gt;-0.2,"UNDERWEIGHT","SELL")))))</f>
        <v>BUY</v>
      </c>
      <c r="C77" s="170" t="str">
        <f>IF(B76&gt;0.4,"Strong conviction. &gt;40% upside to blended current fair value.",IF(B76&gt;0.2,"Positive outlook. 20-40% upside.",IF(B76&gt;0.1,"Modest upside. 10-20% above CMP.",IF(B76&gt;-0.1,"Fairly valued. ±10% of CMP.",IF(B76&gt;-0.2,"Limited upside or mild downside.","Significant downside risk.")))))</f>
        <v>Strong conviction. &gt;40% upside to blended current fair value.</v>
      </c>
      <c r="D77" s="295"/>
      <c r="E77" s="295"/>
      <c r="F77" s="296"/>
    </row>
    <row r="78" spans="1:6" ht="6" customHeight="1" x14ac:dyDescent="0.3"/>
    <row r="79" spans="1:6" ht="19.95" customHeight="1" x14ac:dyDescent="0.3">
      <c r="A79" s="174" t="s">
        <v>156</v>
      </c>
      <c r="B79" s="174" t="s">
        <v>206</v>
      </c>
      <c r="C79" s="174" t="s">
        <v>207</v>
      </c>
      <c r="D79" s="174" t="s">
        <v>208</v>
      </c>
    </row>
    <row r="80" spans="1:6" x14ac:dyDescent="0.3">
      <c r="A80" s="175" t="s">
        <v>209</v>
      </c>
      <c r="B80" s="176">
        <f>B67</f>
        <v>66.353427662216831</v>
      </c>
      <c r="C80" s="177">
        <f>(B80-$B$74)/$B$74</f>
        <v>0.27602745504263138</v>
      </c>
      <c r="D80" s="175" t="str">
        <f>IF(C80&gt;0.1,"Upside",IF(C80&gt;-0.1,"Fair","Downside"))</f>
        <v>Upside</v>
      </c>
    </row>
    <row r="81" spans="1:16" x14ac:dyDescent="0.3">
      <c r="A81" s="178" t="s">
        <v>210</v>
      </c>
      <c r="B81" s="179">
        <f>B68</f>
        <v>122.69628162352947</v>
      </c>
      <c r="C81" s="180">
        <f>(B81-$B$74)/$B$74</f>
        <v>1.3595438773755668</v>
      </c>
      <c r="D81" s="178" t="str">
        <f>IF(C81&gt;0.1,"Upside",IF(C81&gt;-0.1,"Fair","Downside"))</f>
        <v>Upside</v>
      </c>
    </row>
    <row r="82" spans="1:16" x14ac:dyDescent="0.3">
      <c r="A82" s="178" t="s">
        <v>150</v>
      </c>
      <c r="B82" s="179">
        <f>B69</f>
        <v>186.46144927536227</v>
      </c>
      <c r="C82" s="180">
        <f>(B82-$B$74)/$B$74</f>
        <v>2.5857971014492742</v>
      </c>
      <c r="D82" s="178" t="str">
        <f>IF(C82&gt;0.1,"Upside",IF(C82&gt;-0.1,"Fair","Downside"))</f>
        <v>Upside</v>
      </c>
    </row>
    <row r="83" spans="1:16" x14ac:dyDescent="0.3">
      <c r="A83" s="181" t="s">
        <v>154</v>
      </c>
      <c r="B83" s="182">
        <f>B70</f>
        <v>115.93313043478261</v>
      </c>
      <c r="C83" s="183">
        <f>(B83-$B$74)/$B$74</f>
        <v>1.2294832775919733</v>
      </c>
      <c r="D83" s="181" t="str">
        <f>IF(C83&gt;0.1,"Upside",IF(C83&gt;-0.1,"Fair","Downside"))</f>
        <v>Upside</v>
      </c>
    </row>
    <row r="84" spans="1:16" ht="6" customHeight="1" x14ac:dyDescent="0.3"/>
    <row r="85" spans="1:16" ht="25.95" customHeight="1" x14ac:dyDescent="0.3">
      <c r="A85" s="544" t="s">
        <v>212</v>
      </c>
      <c r="B85" s="545"/>
      <c r="C85" s="545"/>
      <c r="D85" s="545"/>
      <c r="E85" s="545"/>
      <c r="F85" s="545"/>
      <c r="G85" s="545"/>
      <c r="H85" s="545"/>
      <c r="I85" s="545"/>
      <c r="J85" s="545"/>
      <c r="K85" s="545"/>
      <c r="L85" s="545"/>
      <c r="M85" s="545"/>
      <c r="N85" s="545"/>
      <c r="O85" s="545"/>
      <c r="P85" s="546"/>
    </row>
    <row r="86" spans="1:16" x14ac:dyDescent="0.3">
      <c r="A86" s="203" t="s">
        <v>213</v>
      </c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P86" s="173"/>
    </row>
    <row r="87" spans="1:16" x14ac:dyDescent="0.3">
      <c r="A87" s="203" t="s">
        <v>214</v>
      </c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P87" s="173"/>
    </row>
    <row r="88" spans="1:16" ht="4.05" customHeight="1" x14ac:dyDescent="0.3">
      <c r="A88" s="297"/>
      <c r="P88" s="173"/>
    </row>
    <row r="89" spans="1:16" ht="19.95" customHeight="1" x14ac:dyDescent="0.3">
      <c r="A89" s="204" t="s">
        <v>215</v>
      </c>
      <c r="B89" s="9"/>
      <c r="C89" s="10" t="s">
        <v>64</v>
      </c>
      <c r="D89" s="10" t="s">
        <v>3</v>
      </c>
      <c r="E89" s="10" t="s">
        <v>4</v>
      </c>
      <c r="F89" s="10" t="s">
        <v>5</v>
      </c>
      <c r="G89" s="10" t="s">
        <v>6</v>
      </c>
      <c r="H89" s="10" t="s">
        <v>7</v>
      </c>
      <c r="I89" s="10" t="s">
        <v>8</v>
      </c>
      <c r="J89" s="10" t="s">
        <v>9</v>
      </c>
      <c r="K89" s="10" t="s">
        <v>65</v>
      </c>
      <c r="L89" s="10" t="s">
        <v>236</v>
      </c>
      <c r="M89" s="10" t="s">
        <v>237</v>
      </c>
      <c r="N89" s="10" t="s">
        <v>238</v>
      </c>
      <c r="O89" s="10" t="s">
        <v>239</v>
      </c>
      <c r="P89" s="211" t="s">
        <v>240</v>
      </c>
    </row>
    <row r="90" spans="1:16" x14ac:dyDescent="0.3">
      <c r="A90" s="205" t="s">
        <v>216</v>
      </c>
      <c r="C90" s="108">
        <f>'Income Statement'!C17</f>
        <v>3.3500000000000019</v>
      </c>
      <c r="D90" s="109">
        <f>'Income Statement'!D17</f>
        <v>4.6499999999999986</v>
      </c>
      <c r="E90" s="109">
        <f>'Income Statement'!E17</f>
        <v>5.58</v>
      </c>
      <c r="F90" s="109">
        <f>'Income Statement'!F17</f>
        <v>11.879999999999999</v>
      </c>
      <c r="G90" s="109">
        <f>'Income Statement'!G17</f>
        <v>23.480000000000004</v>
      </c>
      <c r="H90" s="109">
        <f>'Income Statement'!H17</f>
        <v>43.004599999999996</v>
      </c>
      <c r="I90" s="109">
        <f>'Income Statement'!I17</f>
        <v>56.413750000000014</v>
      </c>
      <c r="J90" s="109">
        <f>'Income Statement'!J17</f>
        <v>69.841250000000002</v>
      </c>
      <c r="K90" s="110">
        <f>'Income Statement'!K17</f>
        <v>82.413074999999992</v>
      </c>
      <c r="L90" s="359">
        <f>'Income Statement'!L17</f>
        <v>94.910588125000018</v>
      </c>
      <c r="M90" s="358">
        <f>'Income Statement'!M17</f>
        <v>112.39186628125003</v>
      </c>
      <c r="N90" s="358">
        <f>'Income Statement'!N17</f>
        <v>133.98326334531248</v>
      </c>
      <c r="O90" s="360">
        <f>'Income Statement'!O17</f>
        <v>152.95331088757811</v>
      </c>
      <c r="P90" s="455">
        <f>'Income Statement'!P17</f>
        <v>172.88565643195705</v>
      </c>
    </row>
    <row r="91" spans="1:16" x14ac:dyDescent="0.3">
      <c r="A91" s="205" t="s">
        <v>75</v>
      </c>
      <c r="C91" s="111">
        <f>'Income Statement'!C14</f>
        <v>0.51</v>
      </c>
      <c r="D91" s="112">
        <f>'Income Statement'!D14</f>
        <v>0.84</v>
      </c>
      <c r="E91" s="112">
        <f>'Income Statement'!E14</f>
        <v>1.42</v>
      </c>
      <c r="F91" s="112">
        <f>'Income Statement'!F14</f>
        <v>2.9</v>
      </c>
      <c r="G91" s="112">
        <f>'Income Statement'!G14</f>
        <v>2.5</v>
      </c>
      <c r="H91" s="112">
        <f>'Income Statement'!H14</f>
        <v>2.14</v>
      </c>
      <c r="I91" s="112">
        <f>'Income Statement'!I14</f>
        <v>3.42</v>
      </c>
      <c r="J91" s="112">
        <f>'Income Statement'!J14</f>
        <v>5.25</v>
      </c>
      <c r="K91" s="113">
        <f>'Income Statement'!K14</f>
        <v>7.72</v>
      </c>
      <c r="L91" s="336">
        <f>'Income Statement'!L14</f>
        <v>10.35</v>
      </c>
      <c r="M91" s="335">
        <f>'Income Statement'!M14</f>
        <v>13.53</v>
      </c>
      <c r="N91" s="335">
        <f>'Income Statement'!N14</f>
        <v>17.03</v>
      </c>
      <c r="O91" s="337">
        <f>'Income Statement'!O14</f>
        <v>21.33</v>
      </c>
      <c r="P91" s="456">
        <f>'Income Statement'!P14</f>
        <v>26.21</v>
      </c>
    </row>
    <row r="92" spans="1:16" x14ac:dyDescent="0.3">
      <c r="A92" s="205" t="s">
        <v>79</v>
      </c>
      <c r="C92" s="111">
        <f>'Income Statement'!C18</f>
        <v>0.87</v>
      </c>
      <c r="D92" s="112">
        <f>'Income Statement'!D18</f>
        <v>1.19</v>
      </c>
      <c r="E92" s="112">
        <f>'Income Statement'!E18</f>
        <v>1.4</v>
      </c>
      <c r="F92" s="112">
        <f>'Income Statement'!F18</f>
        <v>3.2</v>
      </c>
      <c r="G92" s="112">
        <f>'Income Statement'!G18</f>
        <v>5.92</v>
      </c>
      <c r="H92" s="112">
        <f>'Income Statement'!H18</f>
        <v>10.84</v>
      </c>
      <c r="I92" s="112">
        <f>'Income Statement'!I18</f>
        <v>14.22</v>
      </c>
      <c r="J92" s="112">
        <f>'Income Statement'!J18</f>
        <v>17.600000000000001</v>
      </c>
      <c r="K92" s="113">
        <f>'Income Statement'!K18</f>
        <v>20.77</v>
      </c>
      <c r="L92" s="336">
        <f>'Income Statement'!L18</f>
        <v>23.92</v>
      </c>
      <c r="M92" s="335">
        <f>'Income Statement'!M18</f>
        <v>28.32</v>
      </c>
      <c r="N92" s="335">
        <f>'Income Statement'!N18</f>
        <v>33.76</v>
      </c>
      <c r="O92" s="337">
        <f>'Income Statement'!O18</f>
        <v>38.54</v>
      </c>
      <c r="P92" s="456">
        <f>'Income Statement'!P18</f>
        <v>43.57</v>
      </c>
    </row>
    <row r="93" spans="1:16" x14ac:dyDescent="0.3">
      <c r="A93" s="205" t="s">
        <v>217</v>
      </c>
      <c r="C93" s="184">
        <f t="shared" ref="C93:K93" si="11">C92/C90</f>
        <v>0.25970149253731328</v>
      </c>
      <c r="D93" s="185">
        <f t="shared" si="11"/>
        <v>0.25591397849462372</v>
      </c>
      <c r="E93" s="185">
        <f t="shared" si="11"/>
        <v>0.25089605734767023</v>
      </c>
      <c r="F93" s="185">
        <f t="shared" si="11"/>
        <v>0.26936026936026941</v>
      </c>
      <c r="G93" s="185">
        <f t="shared" si="11"/>
        <v>0.25212947189097101</v>
      </c>
      <c r="H93" s="185">
        <f t="shared" si="11"/>
        <v>0.25206605804960402</v>
      </c>
      <c r="I93" s="185">
        <f t="shared" si="11"/>
        <v>0.25206620726330009</v>
      </c>
      <c r="J93" s="185">
        <f t="shared" si="11"/>
        <v>0.25200007159092946</v>
      </c>
      <c r="K93" s="186">
        <f t="shared" si="11"/>
        <v>0.25202311647757353</v>
      </c>
      <c r="L93" s="457">
        <f>IF(L90&lt;&gt;0,L92/L90,0)</f>
        <v>0.25202667555380293</v>
      </c>
      <c r="M93" s="457">
        <f>IF(M90&lt;&gt;0,M92/M90,0)</f>
        <v>0.2519755293424159</v>
      </c>
      <c r="N93" s="370">
        <f>IF(N90&lt;&gt;0,N92/N90,0)</f>
        <v>0.25197176988435488</v>
      </c>
      <c r="O93" s="372">
        <f>IF(O90&lt;&gt;0,O92/O90,0)</f>
        <v>0.25197231610322712</v>
      </c>
      <c r="P93" s="458">
        <f>IF(P90&lt;&gt;0,P92/P90,0)</f>
        <v>0.2520162800038182</v>
      </c>
    </row>
    <row r="94" spans="1:16" x14ac:dyDescent="0.3">
      <c r="A94" s="205" t="s">
        <v>218</v>
      </c>
      <c r="C94" s="111">
        <f>'Balance Sheet'!C9</f>
        <v>45.849999999999994</v>
      </c>
      <c r="D94" s="112">
        <f>'Balance Sheet'!D9</f>
        <v>52.849999999999994</v>
      </c>
      <c r="E94" s="112">
        <f>'Balance Sheet'!E9</f>
        <v>64.86999999999999</v>
      </c>
      <c r="F94" s="112">
        <f>'Balance Sheet'!F9</f>
        <v>105.72</v>
      </c>
      <c r="G94" s="112">
        <f>'Balance Sheet'!G9</f>
        <v>129.67600000000002</v>
      </c>
      <c r="H94" s="112">
        <f>'Balance Sheet'!H9</f>
        <v>178.97309999999999</v>
      </c>
      <c r="I94" s="112">
        <f>'Balance Sheet'!I9</f>
        <v>243.77685000000002</v>
      </c>
      <c r="J94" s="112">
        <f>'Balance Sheet'!J9</f>
        <v>325.24560000000002</v>
      </c>
      <c r="K94" s="113">
        <f>'Balance Sheet'!K9</f>
        <v>419.79117499999995</v>
      </c>
      <c r="L94" s="336">
        <f>'Balance Sheet'!L9</f>
        <v>526.90926312500005</v>
      </c>
      <c r="M94" s="335">
        <f>'Balance Sheet'!M9</f>
        <v>653.56362940625013</v>
      </c>
      <c r="N94" s="335">
        <f>'Balance Sheet'!N9</f>
        <v>804.6043927515625</v>
      </c>
      <c r="O94" s="337">
        <f>'Balance Sheet'!O9</f>
        <v>982.68770363914064</v>
      </c>
      <c r="P94" s="456">
        <f>'Balance Sheet'!P9</f>
        <v>1169.3183600710977</v>
      </c>
    </row>
    <row r="95" spans="1:16" x14ac:dyDescent="0.3">
      <c r="A95" s="205" t="s">
        <v>219</v>
      </c>
      <c r="C95" s="120">
        <f>'Balance Sheet'!C15</f>
        <v>4.8499999999999996</v>
      </c>
      <c r="D95" s="121">
        <f>'Balance Sheet'!D15</f>
        <v>4.28</v>
      </c>
      <c r="E95" s="121">
        <f>'Balance Sheet'!E15</f>
        <v>14.53</v>
      </c>
      <c r="F95" s="121">
        <f>'Balance Sheet'!F15</f>
        <v>15.6</v>
      </c>
      <c r="G95" s="121">
        <f>'Balance Sheet'!G15</f>
        <v>20.34</v>
      </c>
      <c r="H95" s="121">
        <f>'Balance Sheet'!H15</f>
        <v>33.33</v>
      </c>
      <c r="I95" s="121">
        <f>'Balance Sheet'!I15</f>
        <v>52.45</v>
      </c>
      <c r="J95" s="121">
        <f>'Balance Sheet'!J15</f>
        <v>79.17</v>
      </c>
      <c r="K95" s="122">
        <f>'Balance Sheet'!K15</f>
        <v>108.92</v>
      </c>
      <c r="L95" s="449">
        <f>'Balance Sheet'!L15</f>
        <v>142.43</v>
      </c>
      <c r="M95" s="450">
        <f>'Balance Sheet'!M15</f>
        <v>184.07</v>
      </c>
      <c r="N95" s="450">
        <f>'Balance Sheet'!N15</f>
        <v>230.58</v>
      </c>
      <c r="O95" s="459">
        <f>'Balance Sheet'!O15</f>
        <v>291.24</v>
      </c>
      <c r="P95" s="460">
        <f>'Balance Sheet'!P15</f>
        <v>347.1</v>
      </c>
    </row>
    <row r="96" spans="1:16" ht="4.05" customHeight="1" x14ac:dyDescent="0.3">
      <c r="A96" s="297"/>
      <c r="P96" s="173"/>
    </row>
    <row r="97" spans="1:16" ht="19.95" customHeight="1" x14ac:dyDescent="0.3">
      <c r="A97" s="204" t="s">
        <v>220</v>
      </c>
      <c r="B97" s="9"/>
      <c r="C97" s="10" t="s">
        <v>64</v>
      </c>
      <c r="D97" s="10" t="s">
        <v>3</v>
      </c>
      <c r="E97" s="10" t="s">
        <v>4</v>
      </c>
      <c r="F97" s="10" t="s">
        <v>5</v>
      </c>
      <c r="G97" s="10" t="s">
        <v>6</v>
      </c>
      <c r="H97" s="10" t="s">
        <v>7</v>
      </c>
      <c r="I97" s="10" t="s">
        <v>8</v>
      </c>
      <c r="J97" s="10" t="s">
        <v>9</v>
      </c>
      <c r="K97" s="10" t="s">
        <v>65</v>
      </c>
      <c r="L97" s="10" t="s">
        <v>236</v>
      </c>
      <c r="M97" s="10" t="s">
        <v>237</v>
      </c>
      <c r="N97" s="10" t="s">
        <v>238</v>
      </c>
      <c r="O97" s="10" t="s">
        <v>239</v>
      </c>
      <c r="P97" s="211" t="s">
        <v>240</v>
      </c>
    </row>
    <row r="98" spans="1:16" x14ac:dyDescent="0.3">
      <c r="A98" s="205" t="s">
        <v>221</v>
      </c>
      <c r="C98" s="108">
        <f t="shared" ref="C98:K98" si="12">C90+C91</f>
        <v>3.8600000000000021</v>
      </c>
      <c r="D98" s="109">
        <f t="shared" si="12"/>
        <v>5.4899999999999984</v>
      </c>
      <c r="E98" s="109">
        <f t="shared" si="12"/>
        <v>7</v>
      </c>
      <c r="F98" s="109">
        <f t="shared" si="12"/>
        <v>14.78</v>
      </c>
      <c r="G98" s="109">
        <f t="shared" si="12"/>
        <v>25.980000000000004</v>
      </c>
      <c r="H98" s="109">
        <f t="shared" si="12"/>
        <v>45.144599999999997</v>
      </c>
      <c r="I98" s="109">
        <f t="shared" si="12"/>
        <v>59.833750000000016</v>
      </c>
      <c r="J98" s="109">
        <f t="shared" si="12"/>
        <v>75.091250000000002</v>
      </c>
      <c r="K98" s="110">
        <f t="shared" si="12"/>
        <v>90.133074999999991</v>
      </c>
      <c r="L98" s="406">
        <f>L90+L91</f>
        <v>105.26058812500001</v>
      </c>
      <c r="M98" s="406">
        <f>M90+M91</f>
        <v>125.92186628125003</v>
      </c>
      <c r="N98" s="406">
        <f>N90+N91</f>
        <v>151.01326334531248</v>
      </c>
      <c r="O98" s="408">
        <f>O90+O91</f>
        <v>174.28331088757812</v>
      </c>
      <c r="P98" s="461">
        <f>P90+P91</f>
        <v>199.09565643195705</v>
      </c>
    </row>
    <row r="99" spans="1:16" x14ac:dyDescent="0.3">
      <c r="A99" s="205" t="s">
        <v>222</v>
      </c>
      <c r="C99" s="111">
        <f t="shared" ref="C99:K99" si="13">C98*(1-C93)</f>
        <v>2.857552238805972</v>
      </c>
      <c r="D99" s="112">
        <f t="shared" si="13"/>
        <v>4.0850322580645146</v>
      </c>
      <c r="E99" s="112">
        <f t="shared" si="13"/>
        <v>5.2437275985663092</v>
      </c>
      <c r="F99" s="112">
        <f t="shared" si="13"/>
        <v>10.798855218855216</v>
      </c>
      <c r="G99" s="112">
        <f t="shared" si="13"/>
        <v>19.429676320272577</v>
      </c>
      <c r="H99" s="112">
        <f t="shared" si="13"/>
        <v>33.765178635773843</v>
      </c>
      <c r="I99" s="112">
        <f t="shared" si="13"/>
        <v>44.751683571159532</v>
      </c>
      <c r="J99" s="112">
        <f t="shared" si="13"/>
        <v>56.168249624147627</v>
      </c>
      <c r="K99" s="113">
        <f t="shared" si="13"/>
        <v>67.417456540793125</v>
      </c>
      <c r="L99" s="410">
        <f>L98*(1-L93)</f>
        <v>78.732112033018154</v>
      </c>
      <c r="M99" s="410">
        <f>M98*(1-M93)</f>
        <v>94.192637369247137</v>
      </c>
      <c r="N99" s="410">
        <f>N98*(1-N93)</f>
        <v>112.96218410418192</v>
      </c>
      <c r="O99" s="412">
        <f>O98*(1-O93)</f>
        <v>130.36874138509629</v>
      </c>
      <c r="P99" s="462">
        <f>P98*(1-P93)</f>
        <v>148.920309733057</v>
      </c>
    </row>
    <row r="100" spans="1:16" x14ac:dyDescent="0.3">
      <c r="A100" s="205" t="s">
        <v>223</v>
      </c>
      <c r="C100" s="120">
        <f t="shared" ref="C100:K100" si="14">C91*(1-C93)</f>
        <v>0.37755223880597022</v>
      </c>
      <c r="D100" s="121">
        <f t="shared" si="14"/>
        <v>0.62503225806451601</v>
      </c>
      <c r="E100" s="121">
        <f t="shared" si="14"/>
        <v>1.0637275985663084</v>
      </c>
      <c r="F100" s="121">
        <f t="shared" si="14"/>
        <v>2.1188552188552183</v>
      </c>
      <c r="G100" s="121">
        <f t="shared" si="14"/>
        <v>1.8696763202725726</v>
      </c>
      <c r="H100" s="121">
        <f t="shared" si="14"/>
        <v>1.6005786357738474</v>
      </c>
      <c r="I100" s="121">
        <f t="shared" si="14"/>
        <v>2.5579335711595137</v>
      </c>
      <c r="J100" s="121">
        <f t="shared" si="14"/>
        <v>3.9269996241476206</v>
      </c>
      <c r="K100" s="122">
        <f t="shared" si="14"/>
        <v>5.7743815407931329</v>
      </c>
      <c r="L100" s="463">
        <f>L91*(1-L93)</f>
        <v>7.7415239080181388</v>
      </c>
      <c r="M100" s="463">
        <f>M91*(1-M93)</f>
        <v>10.120771087997111</v>
      </c>
      <c r="N100" s="463">
        <f>N91*(1-N93)</f>
        <v>12.738920758869437</v>
      </c>
      <c r="O100" s="464">
        <f>O91*(1-O93)</f>
        <v>15.955430497518163</v>
      </c>
      <c r="P100" s="465">
        <f>P91*(1-P93)</f>
        <v>19.604653301099926</v>
      </c>
    </row>
    <row r="101" spans="1:16" ht="4.05" customHeight="1" x14ac:dyDescent="0.3">
      <c r="A101" s="297"/>
      <c r="P101" s="173"/>
    </row>
    <row r="102" spans="1:16" ht="19.95" customHeight="1" x14ac:dyDescent="0.3">
      <c r="A102" s="204" t="s">
        <v>224</v>
      </c>
      <c r="B102" s="9"/>
      <c r="C102" s="10" t="s">
        <v>64</v>
      </c>
      <c r="D102" s="10" t="s">
        <v>3</v>
      </c>
      <c r="E102" s="10" t="s">
        <v>4</v>
      </c>
      <c r="F102" s="10" t="s">
        <v>5</v>
      </c>
      <c r="G102" s="10" t="s">
        <v>6</v>
      </c>
      <c r="H102" s="10" t="s">
        <v>7</v>
      </c>
      <c r="I102" s="10" t="s">
        <v>8</v>
      </c>
      <c r="J102" s="10" t="s">
        <v>9</v>
      </c>
      <c r="K102" s="10" t="s">
        <v>65</v>
      </c>
      <c r="L102" s="10" t="s">
        <v>236</v>
      </c>
      <c r="M102" s="10" t="s">
        <v>237</v>
      </c>
      <c r="N102" s="10" t="s">
        <v>238</v>
      </c>
      <c r="O102" s="10" t="s">
        <v>239</v>
      </c>
      <c r="P102" s="211" t="s">
        <v>240</v>
      </c>
    </row>
    <row r="103" spans="1:16" x14ac:dyDescent="0.3">
      <c r="A103" s="206" t="s">
        <v>225</v>
      </c>
      <c r="C103" s="199">
        <f t="shared" ref="C103:K103" si="15">C99/C94</f>
        <v>6.2323931053565373E-2</v>
      </c>
      <c r="D103" s="199">
        <f t="shared" si="15"/>
        <v>7.729483932004759E-2</v>
      </c>
      <c r="E103" s="199">
        <f t="shared" si="15"/>
        <v>8.0834401087811161E-2</v>
      </c>
      <c r="F103" s="199">
        <f t="shared" si="15"/>
        <v>0.10214581175610307</v>
      </c>
      <c r="G103" s="199">
        <f t="shared" si="15"/>
        <v>0.14983247725309676</v>
      </c>
      <c r="H103" s="199">
        <f t="shared" si="15"/>
        <v>0.1886606346751207</v>
      </c>
      <c r="I103" s="199">
        <f t="shared" si="15"/>
        <v>0.1835764288986404</v>
      </c>
      <c r="J103" s="199">
        <f t="shared" si="15"/>
        <v>0.17269487926707577</v>
      </c>
      <c r="K103" s="199">
        <f t="shared" si="15"/>
        <v>0.16059760317923102</v>
      </c>
      <c r="L103" s="466">
        <f>L99/L94</f>
        <v>0.14942252403397269</v>
      </c>
      <c r="M103" s="466">
        <f>M99/M94</f>
        <v>0.14412160213814118</v>
      </c>
      <c r="N103" s="466">
        <f>N99/N94</f>
        <v>0.14039468976533567</v>
      </c>
      <c r="O103" s="466">
        <f>O99/O94</f>
        <v>0.13266548558846103</v>
      </c>
      <c r="P103" s="467">
        <f>P99/P94</f>
        <v>0.12735651369059342</v>
      </c>
    </row>
    <row r="104" spans="1:16" x14ac:dyDescent="0.3">
      <c r="A104" s="206" t="s">
        <v>226</v>
      </c>
      <c r="C104" s="200">
        <f t="shared" ref="C104:K104" si="16">C100/C95</f>
        <v>7.7845822434220668E-2</v>
      </c>
      <c r="D104" s="200">
        <f t="shared" si="16"/>
        <v>0.14603557431413924</v>
      </c>
      <c r="E104" s="200">
        <f t="shared" si="16"/>
        <v>7.3209057024522253E-2</v>
      </c>
      <c r="F104" s="200">
        <f t="shared" si="16"/>
        <v>0.13582405249071913</v>
      </c>
      <c r="G104" s="200">
        <f t="shared" si="16"/>
        <v>9.1921156355583705E-2</v>
      </c>
      <c r="H104" s="200">
        <f t="shared" si="16"/>
        <v>4.8022161289344362E-2</v>
      </c>
      <c r="I104" s="200">
        <f t="shared" si="16"/>
        <v>4.8768990870534101E-2</v>
      </c>
      <c r="J104" s="200">
        <f t="shared" si="16"/>
        <v>4.9602117268506003E-2</v>
      </c>
      <c r="K104" s="200">
        <f t="shared" si="16"/>
        <v>5.3014887447604964E-2</v>
      </c>
      <c r="L104" s="468">
        <f>IF(L95&gt;0,L100/L95,0)</f>
        <v>5.4353183374416476E-2</v>
      </c>
      <c r="M104" s="468">
        <f>IF(M95&gt;0,M100/M95,0)</f>
        <v>5.4983273146070037E-2</v>
      </c>
      <c r="N104" s="469">
        <f>IF(N95&gt;0,N100/N95,0)</f>
        <v>5.5247292735143706E-2</v>
      </c>
      <c r="O104" s="469">
        <f>IF(O95&gt;0,O100/O95,0)</f>
        <v>5.4784474994911972E-2</v>
      </c>
      <c r="P104" s="470">
        <f>IF(P95&gt;0,P100/P95,0)</f>
        <v>5.6481282918755184E-2</v>
      </c>
    </row>
    <row r="105" spans="1:16" x14ac:dyDescent="0.3">
      <c r="A105" s="207" t="s">
        <v>227</v>
      </c>
      <c r="B105" s="298"/>
      <c r="C105" s="187">
        <f t="shared" ref="C105:K105" si="17">C103-C104</f>
        <v>-1.5521891380655295E-2</v>
      </c>
      <c r="D105" s="187">
        <f t="shared" si="17"/>
        <v>-6.8740734994091654E-2</v>
      </c>
      <c r="E105" s="187">
        <f t="shared" si="17"/>
        <v>7.625344063288908E-3</v>
      </c>
      <c r="F105" s="187">
        <f t="shared" si="17"/>
        <v>-3.3678240734616061E-2</v>
      </c>
      <c r="G105" s="187">
        <f t="shared" si="17"/>
        <v>5.7911320897513052E-2</v>
      </c>
      <c r="H105" s="187">
        <f t="shared" si="17"/>
        <v>0.14063847338577634</v>
      </c>
      <c r="I105" s="187">
        <f t="shared" si="17"/>
        <v>0.1348074380281063</v>
      </c>
      <c r="J105" s="187">
        <f t="shared" si="17"/>
        <v>0.12309276199856978</v>
      </c>
      <c r="K105" s="187">
        <f t="shared" si="17"/>
        <v>0.10758271573162606</v>
      </c>
      <c r="L105" s="453">
        <f>L103-L104</f>
        <v>9.5069340659556217E-2</v>
      </c>
      <c r="M105" s="453">
        <f>M103-M104</f>
        <v>8.9138328992071136E-2</v>
      </c>
      <c r="N105" s="453">
        <f>N103-N104</f>
        <v>8.5147397030191974E-2</v>
      </c>
      <c r="O105" s="453">
        <f>O103-O104</f>
        <v>7.7881010593549058E-2</v>
      </c>
      <c r="P105" s="454">
        <f>P103-P104</f>
        <v>7.0875230771838243E-2</v>
      </c>
    </row>
    <row r="106" spans="1:16" ht="4.05" customHeight="1" x14ac:dyDescent="0.3">
      <c r="A106" s="297"/>
      <c r="L106" s="5"/>
      <c r="M106" s="5"/>
      <c r="N106" s="5"/>
      <c r="O106" s="5"/>
      <c r="P106" s="471"/>
    </row>
    <row r="107" spans="1:16" ht="15" thickBot="1" x14ac:dyDescent="0.35">
      <c r="A107" s="208" t="s">
        <v>228</v>
      </c>
      <c r="B107" s="299"/>
      <c r="C107" s="188" t="str">
        <f t="shared" ref="C107:K107" si="18">IF(C105&gt;0,"UNDERLEVERAGED ✓","OVERLEVERAGED ✗")</f>
        <v>OVERLEVERAGED ✗</v>
      </c>
      <c r="D107" s="188" t="str">
        <f t="shared" si="18"/>
        <v>OVERLEVERAGED ✗</v>
      </c>
      <c r="E107" s="188" t="str">
        <f t="shared" si="18"/>
        <v>UNDERLEVERAGED ✓</v>
      </c>
      <c r="F107" s="188" t="str">
        <f t="shared" si="18"/>
        <v>OVERLEVERAGED ✗</v>
      </c>
      <c r="G107" s="188" t="str">
        <f t="shared" si="18"/>
        <v>UNDERLEVERAGED ✓</v>
      </c>
      <c r="H107" s="188" t="str">
        <f t="shared" si="18"/>
        <v>UNDERLEVERAGED ✓</v>
      </c>
      <c r="I107" s="188" t="str">
        <f t="shared" si="18"/>
        <v>UNDERLEVERAGED ✓</v>
      </c>
      <c r="J107" s="188" t="str">
        <f t="shared" si="18"/>
        <v>UNDERLEVERAGED ✓</v>
      </c>
      <c r="K107" s="188" t="str">
        <f t="shared" si="18"/>
        <v>UNDERLEVERAGED ✓</v>
      </c>
      <c r="L107" s="188" t="str">
        <f>IF(L105&gt;0,"UNDERLEVERAGED ✓","OVERLEVERAGED ✗")</f>
        <v>UNDERLEVERAGED ✓</v>
      </c>
      <c r="M107" s="188" t="str">
        <f>IF(M105&gt;0,"UNDERLEVERAGED ✓","OVERLEVERAGED ✗")</f>
        <v>UNDERLEVERAGED ✓</v>
      </c>
      <c r="N107" s="188" t="str">
        <f>IF(N105&gt;0,"UNDERLEVERAGED ✓","OVERLEVERAGED ✗")</f>
        <v>UNDERLEVERAGED ✓</v>
      </c>
      <c r="O107" s="188" t="str">
        <f>IF(O105&gt;0,"UNDERLEVERAGED ✓","OVERLEVERAGED ✗")</f>
        <v>UNDERLEVERAGED ✓</v>
      </c>
      <c r="P107" s="188" t="str">
        <f>IF(P105&gt;0,"UNDERLEVERAGED ✓","OVERLEVERAGED ✗")</f>
        <v>UNDERLEVERAGED ✓</v>
      </c>
    </row>
    <row r="108" spans="1:16" ht="6" customHeight="1" x14ac:dyDescent="0.3">
      <c r="A108" s="297"/>
      <c r="L108" s="5"/>
      <c r="M108" s="5"/>
      <c r="N108" s="5"/>
      <c r="O108" s="5"/>
      <c r="P108" s="471"/>
    </row>
    <row r="109" spans="1:16" ht="25.95" customHeight="1" x14ac:dyDescent="0.3">
      <c r="A109" s="544" t="s">
        <v>229</v>
      </c>
      <c r="B109" s="545"/>
      <c r="C109" s="545"/>
      <c r="D109" s="545"/>
      <c r="E109" s="545"/>
      <c r="F109" s="545"/>
      <c r="G109" s="545"/>
      <c r="H109" s="545"/>
      <c r="I109" s="545"/>
      <c r="J109" s="545"/>
      <c r="K109" s="545"/>
      <c r="L109" s="486"/>
      <c r="M109" s="486"/>
      <c r="N109" s="486"/>
      <c r="O109" s="486"/>
      <c r="P109" s="490"/>
    </row>
    <row r="110" spans="1:16" x14ac:dyDescent="0.3">
      <c r="A110" s="203" t="s">
        <v>230</v>
      </c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491"/>
      <c r="M110" s="491"/>
      <c r="N110" s="491"/>
      <c r="O110" s="491"/>
      <c r="P110" s="492"/>
    </row>
    <row r="111" spans="1:16" ht="4.05" customHeight="1" x14ac:dyDescent="0.3">
      <c r="A111" s="297"/>
      <c r="P111" s="173"/>
    </row>
    <row r="112" spans="1:16" ht="19.95" customHeight="1" x14ac:dyDescent="0.3">
      <c r="A112" s="204" t="s">
        <v>231</v>
      </c>
      <c r="B112" s="9"/>
      <c r="C112" s="10" t="s">
        <v>64</v>
      </c>
      <c r="D112" s="10" t="s">
        <v>3</v>
      </c>
      <c r="E112" s="10" t="s">
        <v>4</v>
      </c>
      <c r="F112" s="10" t="s">
        <v>5</v>
      </c>
      <c r="G112" s="10" t="s">
        <v>6</v>
      </c>
      <c r="H112" s="10" t="s">
        <v>7</v>
      </c>
      <c r="I112" s="10" t="s">
        <v>8</v>
      </c>
      <c r="J112" s="10" t="s">
        <v>9</v>
      </c>
      <c r="K112" s="10" t="s">
        <v>65</v>
      </c>
      <c r="L112" s="10" t="s">
        <v>236</v>
      </c>
      <c r="M112" s="10" t="s">
        <v>237</v>
      </c>
      <c r="N112" s="10" t="s">
        <v>238</v>
      </c>
      <c r="O112" s="10" t="s">
        <v>239</v>
      </c>
      <c r="P112" s="211" t="s">
        <v>240</v>
      </c>
    </row>
    <row r="113" spans="1:16" x14ac:dyDescent="0.3">
      <c r="A113" s="209" t="s">
        <v>232</v>
      </c>
      <c r="B113" s="5"/>
      <c r="C113" s="189">
        <f t="shared" ref="C113:P113" si="19">C103</f>
        <v>6.2323931053565373E-2</v>
      </c>
      <c r="D113" s="190">
        <f t="shared" si="19"/>
        <v>7.729483932004759E-2</v>
      </c>
      <c r="E113" s="190">
        <f t="shared" si="19"/>
        <v>8.0834401087811161E-2</v>
      </c>
      <c r="F113" s="190">
        <f t="shared" si="19"/>
        <v>0.10214581175610307</v>
      </c>
      <c r="G113" s="190">
        <f t="shared" si="19"/>
        <v>0.14983247725309676</v>
      </c>
      <c r="H113" s="190">
        <f t="shared" si="19"/>
        <v>0.1886606346751207</v>
      </c>
      <c r="I113" s="190">
        <f t="shared" si="19"/>
        <v>0.1835764288986404</v>
      </c>
      <c r="J113" s="190">
        <f t="shared" si="19"/>
        <v>0.17269487926707577</v>
      </c>
      <c r="K113" s="191">
        <f t="shared" si="19"/>
        <v>0.16059760317923102</v>
      </c>
      <c r="L113" s="472">
        <f t="shared" si="19"/>
        <v>0.14942252403397269</v>
      </c>
      <c r="M113" s="474">
        <f t="shared" si="19"/>
        <v>0.14412160213814118</v>
      </c>
      <c r="N113" s="472">
        <f t="shared" si="19"/>
        <v>0.14039468976533567</v>
      </c>
      <c r="O113" s="472">
        <f t="shared" si="19"/>
        <v>0.13266548558846103</v>
      </c>
      <c r="P113" s="473">
        <f t="shared" si="19"/>
        <v>0.12735651369059342</v>
      </c>
    </row>
    <row r="114" spans="1:16" x14ac:dyDescent="0.3">
      <c r="A114" s="209" t="s">
        <v>233</v>
      </c>
      <c r="B114" s="5"/>
      <c r="C114" s="192">
        <f>C95/'Balance Sheet'!C14</f>
        <v>0.12810353935552032</v>
      </c>
      <c r="D114" s="193">
        <f>D95/'Balance Sheet'!D14</f>
        <v>9.8549389822703212E-2</v>
      </c>
      <c r="E114" s="193">
        <f>E95/'Balance Sheet'!E14</f>
        <v>0.30994027303754268</v>
      </c>
      <c r="F114" s="193">
        <f>F95/'Balance Sheet'!F14</f>
        <v>0.18454986395362594</v>
      </c>
      <c r="G114" s="193">
        <f>G95/'Balance Sheet'!G14</f>
        <v>0.20004720878083321</v>
      </c>
      <c r="H114" s="193">
        <f>H95/'Balance Sheet'!H14</f>
        <v>0.24999418705385634</v>
      </c>
      <c r="I114" s="193">
        <f>I95/'Balance Sheet'!I14</f>
        <v>0.30001112529339746</v>
      </c>
      <c r="J114" s="193">
        <f>J95/'Balance Sheet'!J14</f>
        <v>0.34999133531619026</v>
      </c>
      <c r="K114" s="194">
        <f>K95/'Balance Sheet'!K14</f>
        <v>0.3799872785199126</v>
      </c>
      <c r="L114" s="478">
        <f>L95/'Balance Sheet'!L14</f>
        <v>0.39999521103816876</v>
      </c>
      <c r="M114" s="479">
        <f>M95/'Balance Sheet'!M14</f>
        <v>0.42000793068018549</v>
      </c>
      <c r="N114" s="478">
        <f>N95/'Balance Sheet'!N14</f>
        <v>0.42999852884637291</v>
      </c>
      <c r="O114" s="478">
        <f>O95/'Balance Sheet'!O14</f>
        <v>0.45000159667189937</v>
      </c>
      <c r="P114" s="480">
        <f>P95/'Balance Sheet'!P14</f>
        <v>0.44999706739336326</v>
      </c>
    </row>
    <row r="115" spans="1:16" x14ac:dyDescent="0.3">
      <c r="A115" s="209" t="s">
        <v>227</v>
      </c>
      <c r="B115" s="5"/>
      <c r="C115" s="195">
        <f t="shared" ref="C115:P115" si="20">C105</f>
        <v>-1.5521891380655295E-2</v>
      </c>
      <c r="D115" s="196">
        <f t="shared" si="20"/>
        <v>-6.8740734994091654E-2</v>
      </c>
      <c r="E115" s="196">
        <f t="shared" si="20"/>
        <v>7.625344063288908E-3</v>
      </c>
      <c r="F115" s="196">
        <f t="shared" si="20"/>
        <v>-3.3678240734616061E-2</v>
      </c>
      <c r="G115" s="196">
        <f t="shared" si="20"/>
        <v>5.7911320897513052E-2</v>
      </c>
      <c r="H115" s="196">
        <f t="shared" si="20"/>
        <v>0.14063847338577634</v>
      </c>
      <c r="I115" s="196">
        <f t="shared" si="20"/>
        <v>0.1348074380281063</v>
      </c>
      <c r="J115" s="196">
        <f t="shared" si="20"/>
        <v>0.12309276199856978</v>
      </c>
      <c r="K115" s="197">
        <f t="shared" si="20"/>
        <v>0.10758271573162606</v>
      </c>
      <c r="L115" s="475">
        <f t="shared" si="20"/>
        <v>9.5069340659556217E-2</v>
      </c>
      <c r="M115" s="476">
        <f t="shared" si="20"/>
        <v>8.9138328992071136E-2</v>
      </c>
      <c r="N115" s="475">
        <f t="shared" si="20"/>
        <v>8.5147397030191974E-2</v>
      </c>
      <c r="O115" s="475">
        <f t="shared" si="20"/>
        <v>7.7881010593549058E-2</v>
      </c>
      <c r="P115" s="477">
        <f t="shared" si="20"/>
        <v>7.0875230771838243E-2</v>
      </c>
    </row>
    <row r="116" spans="1:16" ht="15" thickBot="1" x14ac:dyDescent="0.35">
      <c r="A116" s="210" t="s">
        <v>234</v>
      </c>
      <c r="B116" s="300"/>
      <c r="C116" s="202">
        <f t="shared" ref="C116:P116" si="21">C113+C114*(C113-C104)</f>
        <v>6.0335521830211486E-2</v>
      </c>
      <c r="D116" s="202">
        <f t="shared" si="21"/>
        <v>7.0520481830415718E-2</v>
      </c>
      <c r="E116" s="202">
        <f t="shared" si="21"/>
        <v>8.3197802308792132E-2</v>
      </c>
      <c r="F116" s="202">
        <f t="shared" si="21"/>
        <v>9.5930497010332211E-2</v>
      </c>
      <c r="G116" s="202">
        <f t="shared" si="21"/>
        <v>0.16141747535545539</v>
      </c>
      <c r="H116" s="202">
        <f t="shared" si="21"/>
        <v>0.22381943549769329</v>
      </c>
      <c r="I116" s="202">
        <f t="shared" si="21"/>
        <v>0.2240201600793725</v>
      </c>
      <c r="J116" s="202">
        <f t="shared" si="21"/>
        <v>0.21577627940671321</v>
      </c>
      <c r="K116" s="202">
        <f t="shared" si="21"/>
        <v>0.20147766654587301</v>
      </c>
      <c r="L116" s="481">
        <f t="shared" si="21"/>
        <v>0.18744980501435143</v>
      </c>
      <c r="M116" s="482">
        <f t="shared" si="21"/>
        <v>0.18156040724239056</v>
      </c>
      <c r="N116" s="481">
        <f t="shared" si="21"/>
        <v>0.17700794522341623</v>
      </c>
      <c r="O116" s="481">
        <f t="shared" si="21"/>
        <v>0.16771206470597921</v>
      </c>
      <c r="P116" s="483">
        <f t="shared" si="21"/>
        <v>0.1592501596887485</v>
      </c>
    </row>
  </sheetData>
  <mergeCells count="4">
    <mergeCell ref="A109:K109"/>
    <mergeCell ref="A85:P85"/>
    <mergeCell ref="A1:P1"/>
    <mergeCell ref="A22:P22"/>
  </mergeCells>
  <conditionalFormatting sqref="B77">
    <cfRule type="containsText" dxfId="7" priority="1" operator="containsText" text="BUY">
      <formula>NOT(ISERROR(SEARCH("BUY",B77)))</formula>
    </cfRule>
    <cfRule type="containsText" dxfId="6" priority="2" operator="containsText" text="OVERWEIGHT">
      <formula>NOT(ISERROR(SEARCH("OVERWEIGHT",B77)))</formula>
    </cfRule>
    <cfRule type="containsText" dxfId="5" priority="3" operator="containsText" text="EQUAL-WEIGHT">
      <formula>NOT(ISERROR(SEARCH("EQUAL-WEIGHT",B77)))</formula>
    </cfRule>
    <cfRule type="containsText" dxfId="4" priority="4" operator="containsText" text="UNDERWEIGHT">
      <formula>NOT(ISERROR(SEARCH("UNDERWEIGHT",B77)))</formula>
    </cfRule>
    <cfRule type="containsText" dxfId="3" priority="5" operator="containsText" text="SELL">
      <formula>NOT(ISERROR(SEARCH("SELL",B77)))</formula>
    </cfRule>
  </conditionalFormatting>
  <conditionalFormatting sqref="C80:C83">
    <cfRule type="cellIs" dxfId="2" priority="6" operator="greaterThan">
      <formula>0.1</formula>
    </cfRule>
    <cfRule type="cellIs" dxfId="1" priority="7" operator="between">
      <formula>-0.1</formula>
      <formula>0.1</formula>
    </cfRule>
    <cfRule type="cellIs" dxfId="0" priority="8" operator="lessThan">
      <formula>-0.1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55A7-3D19-48C5-B737-F0DB6D281D60}">
  <sheetPr>
    <tabColor rgb="FF2E75B6"/>
  </sheetPr>
  <dimension ref="A1:D93"/>
  <sheetViews>
    <sheetView topLeftCell="A5" workbookViewId="0">
      <selection activeCell="P27" sqref="P27"/>
    </sheetView>
  </sheetViews>
  <sheetFormatPr defaultRowHeight="14.4" x14ac:dyDescent="0.3"/>
  <cols>
    <col min="1" max="1" width="14.77734375" customWidth="1"/>
    <col min="2" max="4" width="18.5546875" customWidth="1"/>
  </cols>
  <sheetData>
    <row r="1" spans="1:4" ht="18" x14ac:dyDescent="0.35">
      <c r="A1" s="493" t="s">
        <v>270</v>
      </c>
    </row>
    <row r="3" spans="1:4" x14ac:dyDescent="0.3">
      <c r="A3" s="8" t="s">
        <v>271</v>
      </c>
      <c r="B3" s="8" t="s">
        <v>10</v>
      </c>
      <c r="C3" s="8" t="s">
        <v>254</v>
      </c>
      <c r="D3" s="8" t="s">
        <v>129</v>
      </c>
    </row>
    <row r="4" spans="1:4" x14ac:dyDescent="0.3">
      <c r="A4" s="3" t="s">
        <v>64</v>
      </c>
      <c r="B4" s="4">
        <f>'Income Statement'!C6</f>
        <v>8.5100000000000016</v>
      </c>
      <c r="C4" s="4">
        <f>'Income Statement'!C19</f>
        <v>2.4800000000000018</v>
      </c>
      <c r="D4" s="4">
        <f>'Income Statement'!C12</f>
        <v>3.9300000000000015</v>
      </c>
    </row>
    <row r="5" spans="1:4" x14ac:dyDescent="0.3">
      <c r="A5" s="3" t="s">
        <v>3</v>
      </c>
      <c r="B5" s="4">
        <f>'Income Statement'!D6</f>
        <v>11.549999999999999</v>
      </c>
      <c r="C5" s="4">
        <f>'Income Statement'!D19</f>
        <v>3.4599999999999986</v>
      </c>
      <c r="D5" s="4">
        <f>'Income Statement'!D12</f>
        <v>5.5999999999999988</v>
      </c>
    </row>
    <row r="6" spans="1:4" x14ac:dyDescent="0.3">
      <c r="A6" s="3" t="s">
        <v>4</v>
      </c>
      <c r="B6" s="4">
        <f>'Income Statement'!E6</f>
        <v>13.36</v>
      </c>
      <c r="C6" s="4">
        <f>'Income Statement'!E19</f>
        <v>4.18</v>
      </c>
      <c r="D6" s="4">
        <f>'Income Statement'!E12</f>
        <v>7.06</v>
      </c>
    </row>
    <row r="7" spans="1:4" x14ac:dyDescent="0.3">
      <c r="A7" s="3" t="s">
        <v>5</v>
      </c>
      <c r="B7" s="4">
        <f>'Income Statement'!F6</f>
        <v>21.63</v>
      </c>
      <c r="C7" s="4">
        <f>'Income Statement'!F19</f>
        <v>8.68</v>
      </c>
      <c r="D7" s="4">
        <f>'Income Statement'!F12</f>
        <v>15.059999999999999</v>
      </c>
    </row>
    <row r="8" spans="1:4" x14ac:dyDescent="0.3">
      <c r="A8" s="3" t="s">
        <v>6</v>
      </c>
      <c r="B8" s="4">
        <f>'Income Statement'!G6</f>
        <v>34.24</v>
      </c>
      <c r="C8" s="4">
        <f>'Income Statement'!G19</f>
        <v>17.560000000000002</v>
      </c>
      <c r="D8" s="4">
        <f>'Income Statement'!G12</f>
        <v>26.380000000000003</v>
      </c>
    </row>
    <row r="9" spans="1:4" x14ac:dyDescent="0.3">
      <c r="A9" s="3" t="s">
        <v>7</v>
      </c>
      <c r="B9" s="4">
        <f>'Income Statement'!H6</f>
        <v>56.514599999999994</v>
      </c>
      <c r="C9" s="4">
        <f>'Income Statement'!H19</f>
        <v>32.164599999999993</v>
      </c>
      <c r="D9" s="4">
        <f>'Income Statement'!H12</f>
        <v>45.784599999999998</v>
      </c>
    </row>
    <row r="10" spans="1:4" x14ac:dyDescent="0.3">
      <c r="A10" s="3" t="s">
        <v>8</v>
      </c>
      <c r="B10" s="4">
        <f>'Income Statement'!I6</f>
        <v>75.053750000000008</v>
      </c>
      <c r="C10" s="4">
        <f>'Income Statement'!I19</f>
        <v>42.193750000000016</v>
      </c>
      <c r="D10" s="4">
        <f>'Income Statement'!I12</f>
        <v>60.813750000000013</v>
      </c>
    </row>
    <row r="11" spans="1:4" x14ac:dyDescent="0.3">
      <c r="A11" s="3" t="s">
        <v>9</v>
      </c>
      <c r="B11" s="4">
        <f>'Income Statement'!J6</f>
        <v>94.301249999999996</v>
      </c>
      <c r="C11" s="4">
        <f>'Income Statement'!J19</f>
        <v>52.241250000000001</v>
      </c>
      <c r="D11" s="4">
        <f>'Income Statement'!J12</f>
        <v>76.391249999999999</v>
      </c>
    </row>
    <row r="12" spans="1:4" x14ac:dyDescent="0.3">
      <c r="A12" s="3" t="s">
        <v>65</v>
      </c>
      <c r="B12" s="4">
        <f>'Income Statement'!K6</f>
        <v>113.27307499999999</v>
      </c>
      <c r="C12" s="4">
        <f>'Income Statement'!K19</f>
        <v>61.643074999999996</v>
      </c>
      <c r="D12" s="4">
        <f>'Income Statement'!K12</f>
        <v>91.773074999999992</v>
      </c>
    </row>
    <row r="13" spans="1:4" x14ac:dyDescent="0.3">
      <c r="A13" s="3" t="s">
        <v>236</v>
      </c>
      <c r="B13" s="4">
        <f>'Income Statement'!L6</f>
        <v>132.34058812500001</v>
      </c>
      <c r="C13" s="4">
        <f>'Income Statement'!L19</f>
        <v>70.990588125000016</v>
      </c>
      <c r="D13" s="4">
        <f>'Income Statement'!L12</f>
        <v>107.22058812500001</v>
      </c>
    </row>
    <row r="14" spans="1:4" x14ac:dyDescent="0.3">
      <c r="A14" s="3" t="s">
        <v>237</v>
      </c>
      <c r="B14" s="4">
        <f>'Income Statement'!M6</f>
        <v>158.24186628125003</v>
      </c>
      <c r="C14" s="4">
        <f>'Income Statement'!M19</f>
        <v>84.071866281250038</v>
      </c>
      <c r="D14" s="4">
        <f>'Income Statement'!M12</f>
        <v>128.20186628125003</v>
      </c>
    </row>
    <row r="15" spans="1:4" x14ac:dyDescent="0.3">
      <c r="A15" s="3" t="s">
        <v>238</v>
      </c>
      <c r="B15" s="4">
        <f>'Income Statement'!N6</f>
        <v>189.84326334531249</v>
      </c>
      <c r="C15" s="4">
        <f>'Income Statement'!N19</f>
        <v>100.22326334531249</v>
      </c>
      <c r="D15" s="4">
        <f>'Income Statement'!N12</f>
        <v>153.81326334531249</v>
      </c>
    </row>
    <row r="16" spans="1:4" x14ac:dyDescent="0.3">
      <c r="A16" s="3" t="s">
        <v>239</v>
      </c>
      <c r="B16" s="4">
        <f>'Income Statement'!O6</f>
        <v>219.2833108875781</v>
      </c>
      <c r="C16" s="4">
        <f>'Income Statement'!O19</f>
        <v>114.41331088757812</v>
      </c>
      <c r="D16" s="4">
        <f>'Income Statement'!O12</f>
        <v>177.6533108875781</v>
      </c>
    </row>
    <row r="17" spans="1:4" x14ac:dyDescent="0.3">
      <c r="A17" s="3" t="s">
        <v>240</v>
      </c>
      <c r="B17" s="4">
        <f>'Income Statement'!P6</f>
        <v>250.60565643195704</v>
      </c>
      <c r="C17" s="4">
        <f>'Income Statement'!P19</f>
        <v>129.31565643195705</v>
      </c>
      <c r="D17" s="4">
        <f>'Income Statement'!P12</f>
        <v>203.03565643195705</v>
      </c>
    </row>
    <row r="20" spans="1:4" x14ac:dyDescent="0.3">
      <c r="A20" s="494" t="s">
        <v>271</v>
      </c>
      <c r="B20" s="494" t="s">
        <v>134</v>
      </c>
      <c r="C20" s="494" t="s">
        <v>135</v>
      </c>
      <c r="D20" s="494" t="s">
        <v>136</v>
      </c>
    </row>
    <row r="21" spans="1:4" x14ac:dyDescent="0.3">
      <c r="A21" s="3" t="s">
        <v>64</v>
      </c>
      <c r="B21" s="1">
        <f>'Income Statement'!C13</f>
        <v>0.4618096357226793</v>
      </c>
      <c r="C21" s="1">
        <f>'Income Statement'!C22</f>
        <v>0.29142185663924808</v>
      </c>
      <c r="D21" s="1">
        <f>'Summary &amp; Valuation'!C16</f>
        <v>6.5504490227152712E-2</v>
      </c>
    </row>
    <row r="22" spans="1:4" x14ac:dyDescent="0.3">
      <c r="A22" s="3" t="s">
        <v>3</v>
      </c>
      <c r="B22" s="1">
        <f>'Income Statement'!D13</f>
        <v>0.48484848484848481</v>
      </c>
      <c r="C22" s="1">
        <f>'Income Statement'!D22</f>
        <v>0.29956709956709948</v>
      </c>
      <c r="D22" s="1">
        <f>'Summary &amp; Valuation'!D16</f>
        <v>7.9668431959474983E-2</v>
      </c>
    </row>
    <row r="23" spans="1:4" x14ac:dyDescent="0.3">
      <c r="A23" s="3" t="s">
        <v>4</v>
      </c>
      <c r="B23" s="1">
        <f>'Income Statement'!E13</f>
        <v>0.52844311377245512</v>
      </c>
      <c r="C23" s="1">
        <f>'Income Statement'!E22</f>
        <v>0.31287425149700598</v>
      </c>
      <c r="D23" s="1">
        <f>'Summary &amp; Valuation'!E16</f>
        <v>8.9163822525597278E-2</v>
      </c>
    </row>
    <row r="24" spans="1:4" x14ac:dyDescent="0.3">
      <c r="A24" s="3" t="s">
        <v>5</v>
      </c>
      <c r="B24" s="1">
        <f>'Income Statement'!F13</f>
        <v>0.69625520110957007</v>
      </c>
      <c r="C24" s="1">
        <f>'Income Statement'!F22</f>
        <v>0.40129449838187703</v>
      </c>
      <c r="D24" s="1">
        <f>'Summary &amp; Valuation'!F16</f>
        <v>0.10268543712291493</v>
      </c>
    </row>
    <row r="25" spans="1:4" x14ac:dyDescent="0.3">
      <c r="A25" s="3" t="s">
        <v>6</v>
      </c>
      <c r="B25" s="1">
        <f>'Income Statement'!G13</f>
        <v>0.77044392523364491</v>
      </c>
      <c r="C25" s="1">
        <f>'Income Statement'!G22</f>
        <v>0.51285046728971961</v>
      </c>
      <c r="D25" s="1">
        <f>'Summary &amp; Valuation'!G16</f>
        <v>0.17270545654825131</v>
      </c>
    </row>
    <row r="26" spans="1:4" x14ac:dyDescent="0.3">
      <c r="A26" s="3" t="s">
        <v>7</v>
      </c>
      <c r="B26" s="1">
        <f>'Income Statement'!H13</f>
        <v>0.81013755737455462</v>
      </c>
      <c r="C26" s="1">
        <f>'Income Statement'!H22</f>
        <v>0.56913788649304775</v>
      </c>
      <c r="D26" s="1">
        <f>'Summary &amp; Valuation'!H16</f>
        <v>0.24125301616899089</v>
      </c>
    </row>
    <row r="27" spans="1:4" x14ac:dyDescent="0.3">
      <c r="A27" s="3" t="s">
        <v>8</v>
      </c>
      <c r="B27" s="1">
        <f>'Income Statement'!I13</f>
        <v>0.81026930699665245</v>
      </c>
      <c r="C27" s="1">
        <f>'Income Statement'!I22</f>
        <v>0.56218043735323031</v>
      </c>
      <c r="D27" s="1">
        <f>'Summary &amp; Valuation'!I16</f>
        <v>0.24134593742322769</v>
      </c>
    </row>
    <row r="28" spans="1:4" x14ac:dyDescent="0.3">
      <c r="A28" s="3" t="s">
        <v>9</v>
      </c>
      <c r="B28" s="1">
        <f>'Income Statement'!J13</f>
        <v>0.81007674871754087</v>
      </c>
      <c r="C28" s="1">
        <f>'Income Statement'!J22</f>
        <v>0.55398258241539744</v>
      </c>
      <c r="D28" s="1">
        <f>'Summary &amp; Valuation'!J16</f>
        <v>0.23094587401903402</v>
      </c>
    </row>
    <row r="29" spans="1:4" x14ac:dyDescent="0.3">
      <c r="A29" s="3" t="s">
        <v>65</v>
      </c>
      <c r="B29" s="1">
        <f>'Income Statement'!K13</f>
        <v>0.81019319904575737</v>
      </c>
      <c r="C29" s="1">
        <f>'Income Statement'!K22</f>
        <v>0.54419883101081168</v>
      </c>
      <c r="D29" s="1">
        <f>'Summary &amp; Valuation'!K16</f>
        <v>0.21505310603056244</v>
      </c>
    </row>
    <row r="30" spans="1:4" x14ac:dyDescent="0.3">
      <c r="A30" s="3" t="s">
        <v>236</v>
      </c>
      <c r="B30" s="1">
        <f>'Income Statement'!L13</f>
        <v>0.81018672838091554</v>
      </c>
      <c r="C30" s="1">
        <f>'Income Statement'!L22</f>
        <v>0.53642339913093851</v>
      </c>
      <c r="D30" s="1">
        <f>'Summary &amp; Valuation'!L16</f>
        <v>0.19936737540393948</v>
      </c>
    </row>
    <row r="31" spans="1:4" x14ac:dyDescent="0.3">
      <c r="A31" s="3" t="s">
        <v>237</v>
      </c>
      <c r="B31" s="1">
        <f>'Income Statement'!M13</f>
        <v>0.81016401849932296</v>
      </c>
      <c r="C31" s="1">
        <f>'Income Statement'!M22</f>
        <v>0.53128712556906732</v>
      </c>
      <c r="D31" s="1">
        <f>'Summary &amp; Valuation'!M16</f>
        <v>0.19183381640250499</v>
      </c>
    </row>
    <row r="32" spans="1:4" x14ac:dyDescent="0.3">
      <c r="A32" s="3" t="s">
        <v>238</v>
      </c>
      <c r="B32" s="1">
        <f>'Income Statement'!N13</f>
        <v>0.8102118591668761</v>
      </c>
      <c r="C32" s="1">
        <f>'Income Statement'!N22</f>
        <v>0.52792636187997322</v>
      </c>
      <c r="D32" s="1">
        <f>'Summary &amp; Valuation'!N16</f>
        <v>0.18690196805736395</v>
      </c>
    </row>
    <row r="33" spans="1:4" x14ac:dyDescent="0.3">
      <c r="A33" s="3" t="s">
        <v>239</v>
      </c>
      <c r="B33" s="1">
        <f>'Income Statement'!O13</f>
        <v>0.81015427105921978</v>
      </c>
      <c r="C33" s="1">
        <f>'Income Statement'!O22</f>
        <v>0.52176023074658606</v>
      </c>
      <c r="D33" s="1">
        <f>'Summary &amp; Valuation'!O16</f>
        <v>0.17678262800414971</v>
      </c>
    </row>
    <row r="34" spans="1:4" x14ac:dyDescent="0.3">
      <c r="A34" s="3" t="s">
        <v>240</v>
      </c>
      <c r="B34" s="1">
        <f>'Income Statement'!P13</f>
        <v>0.81017986314719947</v>
      </c>
      <c r="C34" s="1">
        <f>'Income Statement'!P22</f>
        <v>0.51601252051973567</v>
      </c>
      <c r="D34" s="1">
        <f>'Summary &amp; Valuation'!P16</f>
        <v>0.16765101170391353</v>
      </c>
    </row>
    <row r="37" spans="1:4" x14ac:dyDescent="0.3">
      <c r="A37" s="495" t="s">
        <v>271</v>
      </c>
      <c r="B37" s="495" t="s">
        <v>131</v>
      </c>
      <c r="C37" s="495" t="s">
        <v>132</v>
      </c>
    </row>
    <row r="38" spans="1:4" x14ac:dyDescent="0.3">
      <c r="A38" s="3" t="s">
        <v>64</v>
      </c>
      <c r="B38" s="4">
        <f>'Summary &amp; Valuation'!C7</f>
        <v>0.86111111111111172</v>
      </c>
      <c r="C38" s="4">
        <f>'Summary &amp; Valuation'!C8</f>
        <v>13.145833333333334</v>
      </c>
    </row>
    <row r="39" spans="1:4" x14ac:dyDescent="0.3">
      <c r="A39" s="3" t="s">
        <v>3</v>
      </c>
      <c r="B39" s="4">
        <f>'Summary &amp; Valuation'!D7</f>
        <v>1.2013888888888884</v>
      </c>
      <c r="C39" s="4">
        <f>'Summary &amp; Valuation'!D8</f>
        <v>15.079861111111111</v>
      </c>
    </row>
    <row r="40" spans="1:4" x14ac:dyDescent="0.3">
      <c r="A40" s="3" t="s">
        <v>4</v>
      </c>
      <c r="B40" s="4">
        <f>'Summary &amp; Valuation'!E7</f>
        <v>1.2366863905325443</v>
      </c>
      <c r="C40" s="4">
        <f>'Summary &amp; Valuation'!E8</f>
        <v>13.8698224852071</v>
      </c>
    </row>
    <row r="41" spans="1:4" x14ac:dyDescent="0.3">
      <c r="A41" s="3" t="s">
        <v>5</v>
      </c>
      <c r="B41" s="4">
        <f>'Summary &amp; Valuation'!F7</f>
        <v>2.5159420289855072</v>
      </c>
      <c r="C41" s="4">
        <f>'Summary &amp; Valuation'!F8</f>
        <v>24.501449275362319</v>
      </c>
    </row>
    <row r="42" spans="1:4" x14ac:dyDescent="0.3">
      <c r="A42" s="3" t="s">
        <v>6</v>
      </c>
      <c r="B42" s="4">
        <f>'Summary &amp; Valuation'!G7</f>
        <v>5.0898550724637683</v>
      </c>
      <c r="C42" s="4">
        <f>'Summary &amp; Valuation'!G8</f>
        <v>29.471304347826091</v>
      </c>
    </row>
    <row r="43" spans="1:4" x14ac:dyDescent="0.3">
      <c r="A43" s="3" t="s">
        <v>7</v>
      </c>
      <c r="B43" s="4">
        <f>'Summary &amp; Valuation'!H7</f>
        <v>9.3230724637681135</v>
      </c>
      <c r="C43" s="4">
        <f>'Summary &amp; Valuation'!H8</f>
        <v>38.644376811594206</v>
      </c>
    </row>
    <row r="44" spans="1:4" x14ac:dyDescent="0.3">
      <c r="A44" s="3" t="s">
        <v>8</v>
      </c>
      <c r="B44" s="4">
        <f>'Summary &amp; Valuation'!I7</f>
        <v>12.230072463768121</v>
      </c>
      <c r="C44" s="4">
        <f>'Summary &amp; Valuation'!I8</f>
        <v>50.674449275362321</v>
      </c>
    </row>
    <row r="45" spans="1:4" x14ac:dyDescent="0.3">
      <c r="A45" s="3" t="s">
        <v>9</v>
      </c>
      <c r="B45" s="4">
        <f>'Summary &amp; Valuation'!J7</f>
        <v>15.142391304347825</v>
      </c>
      <c r="C45" s="4">
        <f>'Summary &amp; Valuation'!J8</f>
        <v>65.566840579710146</v>
      </c>
    </row>
    <row r="46" spans="1:4" x14ac:dyDescent="0.3">
      <c r="A46" s="3" t="s">
        <v>65</v>
      </c>
      <c r="B46" s="4">
        <f>'Summary &amp; Valuation'!K7</f>
        <v>17.867557971014492</v>
      </c>
      <c r="C46" s="4">
        <f>'Summary &amp; Valuation'!K8</f>
        <v>83.084398550724629</v>
      </c>
    </row>
    <row r="47" spans="1:4" x14ac:dyDescent="0.3">
      <c r="A47" s="3" t="s">
        <v>236</v>
      </c>
      <c r="B47" s="4">
        <f>'Summary &amp; Valuation'!L7</f>
        <v>20.576982065217393</v>
      </c>
      <c r="C47" s="4">
        <f>'Summary &amp; Valuation'!L8</f>
        <v>103.21138061594203</v>
      </c>
    </row>
    <row r="48" spans="1:4" x14ac:dyDescent="0.3">
      <c r="A48" s="3" t="s">
        <v>237</v>
      </c>
      <c r="B48" s="4">
        <f>'Summary &amp; Valuation'!M7</f>
        <v>24.368656893115951</v>
      </c>
      <c r="C48" s="4">
        <f>'Summary &amp; Valuation'!M8</f>
        <v>127.03003750905799</v>
      </c>
    </row>
    <row r="49" spans="1:3" x14ac:dyDescent="0.3">
      <c r="A49" s="3" t="s">
        <v>238</v>
      </c>
      <c r="B49" s="4">
        <f>'Summary &amp; Valuation'!N7</f>
        <v>29.050221259510867</v>
      </c>
      <c r="C49" s="4">
        <f>'Summary &amp; Valuation'!N8</f>
        <v>155.43025876856882</v>
      </c>
    </row>
    <row r="50" spans="1:3" x14ac:dyDescent="0.3">
      <c r="A50" s="3" t="s">
        <v>239</v>
      </c>
      <c r="B50" s="4">
        <f>'Summary &amp; Valuation'!O7</f>
        <v>33.163278518138583</v>
      </c>
      <c r="C50" s="4">
        <f>'Summary &amp; Valuation'!O8</f>
        <v>187.59353728670743</v>
      </c>
    </row>
    <row r="51" spans="1:3" x14ac:dyDescent="0.3">
      <c r="A51" s="3" t="s">
        <v>240</v>
      </c>
      <c r="B51" s="4">
        <f>'Summary &amp; Valuation'!P7</f>
        <v>37.482798965784653</v>
      </c>
      <c r="C51" s="4">
        <f>'Summary &amp; Valuation'!P8</f>
        <v>223.57633625249207</v>
      </c>
    </row>
    <row r="54" spans="1:3" x14ac:dyDescent="0.3">
      <c r="A54" s="496" t="s">
        <v>271</v>
      </c>
      <c r="B54" s="496" t="s">
        <v>32</v>
      </c>
      <c r="C54" s="496" t="s">
        <v>138</v>
      </c>
    </row>
    <row r="55" spans="1:3" x14ac:dyDescent="0.3">
      <c r="A55" s="3" t="s">
        <v>64</v>
      </c>
      <c r="B55" s="2">
        <f>'Summary &amp; Valuation'!C9</f>
        <v>42.01</v>
      </c>
      <c r="C55">
        <f>'Summary &amp; Valuation'!C19</f>
        <v>0</v>
      </c>
    </row>
    <row r="56" spans="1:3" x14ac:dyDescent="0.3">
      <c r="A56" s="3" t="s">
        <v>3</v>
      </c>
      <c r="B56" s="2">
        <f>'Summary &amp; Valuation'!D9</f>
        <v>44.28</v>
      </c>
      <c r="C56">
        <f>'Summary &amp; Valuation'!D19</f>
        <v>5.4034753630088153E-2</v>
      </c>
    </row>
    <row r="57" spans="1:3" x14ac:dyDescent="0.3">
      <c r="A57" s="3" t="s">
        <v>4</v>
      </c>
      <c r="B57" s="2">
        <f>'Summary &amp; Valuation'!E9</f>
        <v>55.04</v>
      </c>
      <c r="C57">
        <f>'Summary &amp; Valuation'!E19</f>
        <v>0.2429990966576332</v>
      </c>
    </row>
    <row r="58" spans="1:3" x14ac:dyDescent="0.3">
      <c r="A58" s="3" t="s">
        <v>5</v>
      </c>
      <c r="B58" s="2">
        <f>'Summary &amp; Valuation'!F9</f>
        <v>80.69</v>
      </c>
      <c r="C58">
        <f>'Summary &amp; Valuation'!F19</f>
        <v>0.46602470930232559</v>
      </c>
    </row>
    <row r="59" spans="1:3" x14ac:dyDescent="0.3">
      <c r="A59" s="3" t="s">
        <v>6</v>
      </c>
      <c r="B59" s="2">
        <f>'Summary &amp; Valuation'!G9</f>
        <v>95</v>
      </c>
      <c r="C59">
        <f>'Summary &amp; Valuation'!G19</f>
        <v>0.17734539595984636</v>
      </c>
    </row>
    <row r="60" spans="1:3" x14ac:dyDescent="0.3">
      <c r="A60" s="3" t="s">
        <v>7</v>
      </c>
      <c r="B60" s="2">
        <f>'Summary &amp; Valuation'!H9</f>
        <v>135</v>
      </c>
      <c r="C60">
        <f>'Summary &amp; Valuation'!H19</f>
        <v>0.42105263157894735</v>
      </c>
    </row>
    <row r="61" spans="1:3" x14ac:dyDescent="0.3">
      <c r="A61" s="3" t="s">
        <v>8</v>
      </c>
      <c r="B61" s="2">
        <f>'Summary &amp; Valuation'!I9</f>
        <v>185</v>
      </c>
      <c r="C61">
        <f>'Summary &amp; Valuation'!I19</f>
        <v>0.37037037037037035</v>
      </c>
    </row>
    <row r="62" spans="1:3" x14ac:dyDescent="0.3">
      <c r="A62" s="3" t="s">
        <v>9</v>
      </c>
      <c r="B62" s="2">
        <f>'Summary &amp; Valuation'!J9</f>
        <v>245</v>
      </c>
      <c r="C62">
        <f>'Summary &amp; Valuation'!J19</f>
        <v>0.32432432432432434</v>
      </c>
    </row>
    <row r="63" spans="1:3" x14ac:dyDescent="0.3">
      <c r="A63" s="3" t="s">
        <v>65</v>
      </c>
      <c r="B63" s="2">
        <f>'Summary &amp; Valuation'!K9</f>
        <v>310</v>
      </c>
      <c r="C63">
        <f>'Summary &amp; Valuation'!K19</f>
        <v>0.26530612244897961</v>
      </c>
    </row>
    <row r="64" spans="1:3" x14ac:dyDescent="0.3">
      <c r="A64" s="3" t="s">
        <v>236</v>
      </c>
      <c r="B64" s="2">
        <f>'Summary &amp; Valuation'!L9</f>
        <v>370</v>
      </c>
      <c r="C64">
        <f>'Summary &amp; Valuation'!L19</f>
        <v>0.19354838709677419</v>
      </c>
    </row>
    <row r="65" spans="1:3" x14ac:dyDescent="0.3">
      <c r="A65" s="3" t="s">
        <v>237</v>
      </c>
      <c r="B65" s="2">
        <f>'Summary &amp; Valuation'!M9</f>
        <v>430</v>
      </c>
      <c r="C65">
        <f>'Summary &amp; Valuation'!M19</f>
        <v>0.16216216216216217</v>
      </c>
    </row>
    <row r="66" spans="1:3" x14ac:dyDescent="0.3">
      <c r="A66" s="3" t="s">
        <v>238</v>
      </c>
      <c r="B66" s="2">
        <f>'Summary &amp; Valuation'!N9</f>
        <v>530</v>
      </c>
      <c r="C66">
        <f>'Summary &amp; Valuation'!N19</f>
        <v>0.23255813953488372</v>
      </c>
    </row>
    <row r="67" spans="1:3" x14ac:dyDescent="0.3">
      <c r="A67" s="3" t="s">
        <v>239</v>
      </c>
      <c r="B67" s="2">
        <f>'Summary &amp; Valuation'!O9</f>
        <v>640</v>
      </c>
      <c r="C67">
        <f>'Summary &amp; Valuation'!O19</f>
        <v>0.20754716981132076</v>
      </c>
    </row>
    <row r="68" spans="1:3" x14ac:dyDescent="0.3">
      <c r="A68" s="3" t="s">
        <v>240</v>
      </c>
      <c r="B68" s="2">
        <f>'Summary &amp; Valuation'!P9</f>
        <v>750</v>
      </c>
      <c r="C68">
        <f>'Summary &amp; Valuation'!P19</f>
        <v>0.171875</v>
      </c>
    </row>
    <row r="71" spans="1:3" x14ac:dyDescent="0.3">
      <c r="A71" s="139" t="s">
        <v>156</v>
      </c>
      <c r="B71" s="139" t="s">
        <v>206</v>
      </c>
    </row>
    <row r="72" spans="1:3" x14ac:dyDescent="0.3">
      <c r="A72" t="s">
        <v>209</v>
      </c>
      <c r="B72" s="4">
        <f>'Summary &amp; Valuation'!B80</f>
        <v>66.353427662216831</v>
      </c>
    </row>
    <row r="73" spans="1:3" x14ac:dyDescent="0.3">
      <c r="A73" t="s">
        <v>210</v>
      </c>
      <c r="B73" s="4">
        <f>'Summary &amp; Valuation'!B81</f>
        <v>122.69628162352947</v>
      </c>
    </row>
    <row r="74" spans="1:3" x14ac:dyDescent="0.3">
      <c r="A74" t="s">
        <v>150</v>
      </c>
      <c r="B74" s="4">
        <f>'Summary &amp; Valuation'!B82</f>
        <v>186.46144927536227</v>
      </c>
    </row>
    <row r="75" spans="1:3" x14ac:dyDescent="0.3">
      <c r="A75" t="s">
        <v>154</v>
      </c>
      <c r="B75" s="4">
        <f>'Summary &amp; Valuation'!B83</f>
        <v>115.93313043478261</v>
      </c>
    </row>
    <row r="76" spans="1:3" x14ac:dyDescent="0.3">
      <c r="A76" t="s">
        <v>272</v>
      </c>
      <c r="B76" s="4">
        <f>'Summary &amp; Valuation'!B75</f>
        <v>117.19</v>
      </c>
    </row>
    <row r="79" spans="1:3" x14ac:dyDescent="0.3">
      <c r="A79" s="497" t="s">
        <v>271</v>
      </c>
      <c r="B79" s="497" t="s">
        <v>140</v>
      </c>
    </row>
    <row r="80" spans="1:3" x14ac:dyDescent="0.3">
      <c r="A80" s="3" t="s">
        <v>64</v>
      </c>
      <c r="B80" s="4">
        <f>'Cash Flow'!C10</f>
        <v>-1.6999999999999957</v>
      </c>
    </row>
    <row r="81" spans="1:2" x14ac:dyDescent="0.3">
      <c r="A81" s="3" t="s">
        <v>3</v>
      </c>
      <c r="B81" s="4">
        <f>'Cash Flow'!D10</f>
        <v>4.2199999999999989</v>
      </c>
    </row>
    <row r="82" spans="1:2" x14ac:dyDescent="0.3">
      <c r="A82" s="3" t="s">
        <v>4</v>
      </c>
      <c r="B82" s="4">
        <f>'Cash Flow'!E10</f>
        <v>-13.747199999999999</v>
      </c>
    </row>
    <row r="83" spans="1:2" x14ac:dyDescent="0.3">
      <c r="A83" s="3" t="s">
        <v>5</v>
      </c>
      <c r="B83" s="4">
        <f>'Cash Flow'!F10</f>
        <v>9.6305000000000014</v>
      </c>
    </row>
    <row r="84" spans="1:2" x14ac:dyDescent="0.3">
      <c r="A84" s="3" t="s">
        <v>6</v>
      </c>
      <c r="B84" s="4">
        <f>'Cash Flow'!G10</f>
        <v>5.0200000000000005</v>
      </c>
    </row>
    <row r="85" spans="1:2" x14ac:dyDescent="0.3">
      <c r="A85" s="3" t="s">
        <v>7</v>
      </c>
      <c r="B85" s="4">
        <f>'Cash Flow'!H10</f>
        <v>-3.5354000000000063</v>
      </c>
    </row>
    <row r="86" spans="1:2" x14ac:dyDescent="0.3">
      <c r="A86" s="3" t="s">
        <v>8</v>
      </c>
      <c r="B86" s="4">
        <f>'Cash Flow'!I10</f>
        <v>-3.6462499999999878</v>
      </c>
    </row>
    <row r="87" spans="1:2" x14ac:dyDescent="0.3">
      <c r="A87" s="3" t="s">
        <v>9</v>
      </c>
      <c r="B87" s="4">
        <f>'Cash Flow'!J10</f>
        <v>-4.588750000000001</v>
      </c>
    </row>
    <row r="88" spans="1:2" x14ac:dyDescent="0.3">
      <c r="A88" s="3" t="s">
        <v>65</v>
      </c>
      <c r="B88" s="4">
        <f>'Cash Flow'!K10</f>
        <v>1.1430749999999961</v>
      </c>
    </row>
    <row r="89" spans="1:2" x14ac:dyDescent="0.3">
      <c r="A89" s="3" t="s">
        <v>236</v>
      </c>
      <c r="B89" s="4">
        <f>'Cash Flow'!L10</f>
        <v>15.620588125000008</v>
      </c>
    </row>
    <row r="90" spans="1:2" x14ac:dyDescent="0.3">
      <c r="A90" s="3" t="s">
        <v>237</v>
      </c>
      <c r="B90" s="4">
        <f>'Cash Flow'!M10</f>
        <v>27.191866281250039</v>
      </c>
    </row>
    <row r="91" spans="1:2" x14ac:dyDescent="0.3">
      <c r="A91" s="3" t="s">
        <v>238</v>
      </c>
      <c r="B91" s="4">
        <f>'Cash Flow'!N10</f>
        <v>7.5732633453125011</v>
      </c>
    </row>
    <row r="92" spans="1:2" x14ac:dyDescent="0.3">
      <c r="A92" s="3" t="s">
        <v>239</v>
      </c>
      <c r="B92" s="4">
        <f>'Cash Flow'!O10</f>
        <v>12.243310887578126</v>
      </c>
    </row>
    <row r="93" spans="1:2" x14ac:dyDescent="0.3">
      <c r="A93" s="3" t="s">
        <v>240</v>
      </c>
      <c r="B93" s="4">
        <f>'Cash Flow'!P10</f>
        <v>27.885656431957052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</vt:lpstr>
      <vt:lpstr>Summary &amp; Valuation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Vijay</dc:creator>
  <cp:lastModifiedBy>Harsh Vijay</cp:lastModifiedBy>
  <dcterms:created xsi:type="dcterms:W3CDTF">2026-02-18T20:13:36Z</dcterms:created>
  <dcterms:modified xsi:type="dcterms:W3CDTF">2026-03-31T09:04:04Z</dcterms:modified>
</cp:coreProperties>
</file>