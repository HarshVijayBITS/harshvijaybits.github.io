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1.xml" ContentType="application/vnd.ms-excel.person+xml"/>
  <Override PartName="/xl/persons/person0.xml" ContentType="application/vnd.ms-excel.person+xml"/>
  <Override PartName="/xl/persons/person2.xml" ContentType="application/vnd.ms-excel.person+xml"/>
  <Override PartName="/xl/persons/person.xml" ContentType="application/vnd.ms-excel.person+xml"/>
  <Override PartName="/xl/persons/person3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harsh\Downloads\"/>
    </mc:Choice>
  </mc:AlternateContent>
  <xr:revisionPtr revIDLastSave="0" documentId="13_ncr:1_{4F9B56FF-5C67-4ACD-B845-EB5899BA9CF3}" xr6:coauthVersionLast="47" xr6:coauthVersionMax="47" xr10:uidLastSave="{00000000-0000-0000-0000-000000000000}"/>
  <bookViews>
    <workbookView xWindow="-108" yWindow="-108" windowWidth="23256" windowHeight="12456" firstSheet="2" activeTab="5" xr2:uid="{E6815EFD-5F37-4DCC-8EBB-CE27EC78F2F9}"/>
  </bookViews>
  <sheets>
    <sheet name="Assumptions" sheetId="1" r:id="rId1"/>
    <sheet name="Income Statement" sheetId="2" r:id="rId2"/>
    <sheet name="Balance Sheet" sheetId="3" r:id="rId3"/>
    <sheet name="Cash Flow" sheetId="4" r:id="rId4"/>
    <sheet name="Ratios &amp; Valuation" sheetId="5" r:id="rId5"/>
    <sheet name="Valuation Exercise" sheetId="6" r:id="rId6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62" i="6" l="1"/>
  <c r="B61" i="6"/>
  <c r="B53" i="6"/>
  <c r="B52" i="6"/>
  <c r="B51" i="6"/>
  <c r="B50" i="6"/>
  <c r="B112" i="6" l="1"/>
  <c r="B108" i="6"/>
  <c r="D105" i="6"/>
  <c r="B105" i="6"/>
  <c r="B104" i="6"/>
  <c r="B103" i="6"/>
  <c r="B92" i="6"/>
  <c r="B82" i="6"/>
  <c r="B81" i="6"/>
  <c r="B80" i="6"/>
  <c r="B79" i="6"/>
  <c r="D92" i="6"/>
  <c r="P6" i="1"/>
  <c r="O6" i="1"/>
  <c r="N6" i="1"/>
  <c r="M6" i="1"/>
  <c r="L6" i="1"/>
  <c r="K28" i="1"/>
  <c r="J28" i="1"/>
  <c r="I28" i="1"/>
  <c r="H28" i="1"/>
  <c r="G28" i="1"/>
  <c r="Q20" i="2"/>
  <c r="P20" i="2"/>
  <c r="O20" i="2"/>
  <c r="N20" i="2"/>
  <c r="M20" i="2"/>
  <c r="L20" i="2"/>
  <c r="K20" i="2"/>
  <c r="J20" i="2"/>
  <c r="I20" i="2"/>
  <c r="H20" i="2"/>
  <c r="D96" i="6"/>
  <c r="C96" i="6"/>
  <c r="B96" i="6"/>
  <c r="B59" i="6"/>
  <c r="B54" i="6" l="1"/>
  <c r="B55" i="6" s="1"/>
  <c r="G31" i="4"/>
  <c r="F31" i="4"/>
  <c r="E31" i="4"/>
  <c r="D31" i="4"/>
  <c r="C31" i="4"/>
  <c r="G30" i="4"/>
  <c r="F30" i="4"/>
  <c r="E30" i="4"/>
  <c r="D30" i="4"/>
  <c r="C30" i="4"/>
  <c r="Q17" i="4"/>
  <c r="Q13" i="4"/>
  <c r="Q14" i="4" s="1"/>
  <c r="Q12" i="4"/>
  <c r="P17" i="4"/>
  <c r="P13" i="4"/>
  <c r="P14" i="4" s="1"/>
  <c r="P12" i="4"/>
  <c r="O17" i="4"/>
  <c r="O13" i="4"/>
  <c r="O12" i="4"/>
  <c r="O14" i="4" s="1"/>
  <c r="N17" i="4"/>
  <c r="N13" i="4"/>
  <c r="N12" i="4"/>
  <c r="N14" i="4" s="1"/>
  <c r="M17" i="4"/>
  <c r="M13" i="4"/>
  <c r="M12" i="4"/>
  <c r="M14" i="4" s="1"/>
  <c r="L15" i="1"/>
  <c r="M15" i="1" s="1"/>
  <c r="N15" i="1" s="1"/>
  <c r="O15" i="1" s="1"/>
  <c r="P15" i="1" s="1"/>
  <c r="P14" i="1"/>
  <c r="O14" i="1"/>
  <c r="N14" i="1"/>
  <c r="M14" i="1"/>
  <c r="L14" i="1"/>
  <c r="P13" i="1"/>
  <c r="O13" i="1"/>
  <c r="N13" i="1"/>
  <c r="M13" i="1"/>
  <c r="L13" i="1"/>
  <c r="P12" i="1"/>
  <c r="O12" i="1"/>
  <c r="N12" i="1"/>
  <c r="M12" i="1"/>
  <c r="L12" i="1"/>
  <c r="P10" i="1"/>
  <c r="O10" i="1"/>
  <c r="N10" i="1"/>
  <c r="M10" i="1"/>
  <c r="L10" i="1"/>
  <c r="K15" i="1"/>
  <c r="J15" i="1"/>
  <c r="I15" i="1"/>
  <c r="H15" i="1"/>
  <c r="K14" i="1"/>
  <c r="J14" i="1"/>
  <c r="I14" i="1"/>
  <c r="H14" i="1"/>
  <c r="K13" i="1"/>
  <c r="J13" i="1"/>
  <c r="I13" i="1"/>
  <c r="H13" i="1"/>
  <c r="K12" i="1"/>
  <c r="J12" i="1"/>
  <c r="I12" i="1"/>
  <c r="H12" i="1"/>
  <c r="H11" i="1"/>
  <c r="K10" i="1"/>
  <c r="J10" i="1"/>
  <c r="I10" i="1"/>
  <c r="H10" i="1"/>
  <c r="G14" i="1"/>
  <c r="G13" i="1"/>
  <c r="G12" i="1"/>
  <c r="G11" i="1"/>
  <c r="G10" i="1"/>
  <c r="G7" i="1"/>
  <c r="G6" i="1"/>
  <c r="G53" i="1"/>
  <c r="G51" i="1"/>
  <c r="G50" i="1"/>
  <c r="F44" i="1"/>
  <c r="P24" i="1"/>
  <c r="O24" i="1"/>
  <c r="N24" i="1"/>
  <c r="M24" i="1"/>
  <c r="L24" i="1"/>
  <c r="G55" i="1"/>
  <c r="F55" i="1"/>
  <c r="E55" i="1"/>
  <c r="D55" i="1"/>
  <c r="C55" i="1"/>
  <c r="B55" i="1"/>
  <c r="G54" i="1"/>
  <c r="F54" i="1"/>
  <c r="E54" i="1"/>
  <c r="D54" i="1"/>
  <c r="C54" i="1"/>
  <c r="B54" i="1"/>
  <c r="F53" i="1"/>
  <c r="E53" i="1"/>
  <c r="D53" i="1"/>
  <c r="C53" i="1"/>
  <c r="B53" i="1"/>
  <c r="G52" i="1"/>
  <c r="F52" i="1"/>
  <c r="E52" i="1"/>
  <c r="D52" i="1"/>
  <c r="C52" i="1"/>
  <c r="B52" i="1"/>
  <c r="F51" i="1"/>
  <c r="E51" i="1"/>
  <c r="D51" i="1"/>
  <c r="C51" i="1"/>
  <c r="B51" i="1"/>
  <c r="F50" i="1"/>
  <c r="E50" i="1"/>
  <c r="D50" i="1"/>
  <c r="C50" i="1"/>
  <c r="B50" i="1"/>
  <c r="F48" i="1"/>
  <c r="E48" i="1"/>
  <c r="D48" i="1"/>
  <c r="C48" i="1"/>
  <c r="F46" i="1"/>
  <c r="E46" i="1"/>
  <c r="F45" i="1"/>
  <c r="E45" i="1"/>
  <c r="D45" i="1"/>
  <c r="C45" i="1"/>
  <c r="E44" i="1"/>
  <c r="D44" i="1"/>
  <c r="C44" i="1"/>
  <c r="F43" i="1"/>
  <c r="E43" i="1"/>
  <c r="D43" i="1"/>
  <c r="C43" i="1"/>
  <c r="F42" i="1"/>
  <c r="E42" i="1"/>
  <c r="D42" i="1"/>
  <c r="C42" i="1"/>
  <c r="B63" i="6" l="1"/>
  <c r="B6" i="6" s="1"/>
  <c r="I11" i="1"/>
  <c r="H6" i="1"/>
  <c r="G48" i="1"/>
  <c r="I5" i="2"/>
  <c r="H5" i="2"/>
  <c r="B20" i="6" l="1"/>
  <c r="E20" i="6"/>
  <c r="J20" i="6"/>
  <c r="K20" i="6"/>
  <c r="H20" i="6"/>
  <c r="F20" i="6"/>
  <c r="D20" i="6"/>
  <c r="G20" i="6"/>
  <c r="I20" i="6"/>
  <c r="C20" i="6"/>
  <c r="H53" i="1"/>
  <c r="H50" i="1"/>
  <c r="H54" i="1"/>
  <c r="H52" i="1"/>
  <c r="H55" i="1"/>
  <c r="H7" i="1"/>
  <c r="J11" i="1"/>
  <c r="I6" i="1"/>
  <c r="H48" i="1"/>
  <c r="H51" i="1"/>
  <c r="H32" i="5"/>
  <c r="H17" i="4"/>
  <c r="H13" i="4"/>
  <c r="E75" i="6"/>
  <c r="B87" i="6" s="1"/>
  <c r="C87" i="6" s="1"/>
  <c r="D75" i="6"/>
  <c r="B86" i="6" s="1"/>
  <c r="C86" i="6" s="1"/>
  <c r="B8" i="6"/>
  <c r="B30" i="6" s="1"/>
  <c r="B9" i="6"/>
  <c r="B28" i="6" s="1"/>
  <c r="H22" i="4"/>
  <c r="G22" i="4"/>
  <c r="F22" i="4"/>
  <c r="E22" i="4"/>
  <c r="D22" i="4"/>
  <c r="L17" i="4"/>
  <c r="K17" i="4"/>
  <c r="J17" i="4"/>
  <c r="I17" i="4"/>
  <c r="L13" i="4"/>
  <c r="K13" i="4"/>
  <c r="J13" i="4"/>
  <c r="I13" i="4"/>
  <c r="L12" i="4"/>
  <c r="L14" i="4" s="1"/>
  <c r="K12" i="4"/>
  <c r="K14" i="4" s="1"/>
  <c r="J12" i="4"/>
  <c r="J14" i="4" s="1"/>
  <c r="I12" i="4"/>
  <c r="H12" i="4"/>
  <c r="G14" i="5"/>
  <c r="F14" i="5"/>
  <c r="E14" i="5"/>
  <c r="D14" i="5"/>
  <c r="C14" i="5"/>
  <c r="G38" i="5"/>
  <c r="G35" i="5"/>
  <c r="F35" i="5"/>
  <c r="E35" i="5"/>
  <c r="D35" i="5"/>
  <c r="C35" i="5"/>
  <c r="G21" i="5"/>
  <c r="F21" i="5"/>
  <c r="E21" i="5"/>
  <c r="D21" i="5"/>
  <c r="C21" i="5"/>
  <c r="G26" i="5"/>
  <c r="F26" i="5"/>
  <c r="E26" i="5"/>
  <c r="D26" i="5"/>
  <c r="C26" i="5"/>
  <c r="G6" i="5"/>
  <c r="F6" i="5"/>
  <c r="E6" i="5"/>
  <c r="D6" i="5"/>
  <c r="C6" i="5"/>
  <c r="G19" i="4"/>
  <c r="F19" i="4"/>
  <c r="E19" i="4"/>
  <c r="D19" i="4"/>
  <c r="C19" i="4"/>
  <c r="G14" i="4"/>
  <c r="F14" i="4"/>
  <c r="E14" i="4"/>
  <c r="D14" i="4"/>
  <c r="C14" i="4"/>
  <c r="G7" i="4"/>
  <c r="F7" i="4"/>
  <c r="E7" i="4"/>
  <c r="D7" i="4"/>
  <c r="C7" i="4"/>
  <c r="G34" i="3"/>
  <c r="F34" i="3"/>
  <c r="E34" i="3"/>
  <c r="D34" i="3"/>
  <c r="C34" i="3"/>
  <c r="I30" i="3"/>
  <c r="H30" i="3"/>
  <c r="G18" i="3"/>
  <c r="G20" i="3" s="1"/>
  <c r="F18" i="3"/>
  <c r="F22" i="5" s="1"/>
  <c r="E18" i="3"/>
  <c r="E22" i="5" s="1"/>
  <c r="D18" i="3"/>
  <c r="D20" i="3" s="1"/>
  <c r="C18" i="3"/>
  <c r="C20" i="3" s="1"/>
  <c r="G8" i="3"/>
  <c r="F8" i="3"/>
  <c r="E8" i="3"/>
  <c r="D8" i="3"/>
  <c r="C8" i="3"/>
  <c r="I21" i="2"/>
  <c r="H21" i="2"/>
  <c r="E17" i="2"/>
  <c r="E18" i="2" s="1"/>
  <c r="E7" i="5" s="1"/>
  <c r="D17" i="2"/>
  <c r="D18" i="2" s="1"/>
  <c r="D7" i="5" s="1"/>
  <c r="G15" i="2"/>
  <c r="G17" i="2" s="1"/>
  <c r="F15" i="2"/>
  <c r="F17" i="2" s="1"/>
  <c r="E15" i="2"/>
  <c r="D15" i="2"/>
  <c r="C15" i="2"/>
  <c r="C17" i="2" s="1"/>
  <c r="I14" i="2"/>
  <c r="H14" i="2"/>
  <c r="I13" i="2"/>
  <c r="H13" i="2"/>
  <c r="G12" i="2"/>
  <c r="F12" i="2"/>
  <c r="E12" i="2"/>
  <c r="D12" i="2"/>
  <c r="C12" i="2"/>
  <c r="I11" i="2"/>
  <c r="I15" i="3" s="1"/>
  <c r="I18" i="3" s="1"/>
  <c r="H11" i="2"/>
  <c r="H15" i="3" s="1"/>
  <c r="H18" i="3" s="1"/>
  <c r="I8" i="2"/>
  <c r="H8" i="2"/>
  <c r="G8" i="2"/>
  <c r="F8" i="2"/>
  <c r="E8" i="2"/>
  <c r="D8" i="2"/>
  <c r="C8" i="2"/>
  <c r="I6" i="2"/>
  <c r="I26" i="5" s="1"/>
  <c r="H6" i="2"/>
  <c r="H26" i="5" s="1"/>
  <c r="B94" i="6" l="1"/>
  <c r="D94" i="6"/>
  <c r="C94" i="6"/>
  <c r="B93" i="6"/>
  <c r="D93" i="6"/>
  <c r="C93" i="6"/>
  <c r="I54" i="1"/>
  <c r="I50" i="1"/>
  <c r="I52" i="1"/>
  <c r="I7" i="1"/>
  <c r="I55" i="1"/>
  <c r="I53" i="1"/>
  <c r="I48" i="1"/>
  <c r="J5" i="2"/>
  <c r="J6" i="1"/>
  <c r="K11" i="1"/>
  <c r="J51" i="1"/>
  <c r="I51" i="1"/>
  <c r="F18" i="2"/>
  <c r="F7" i="5" s="1"/>
  <c r="F23" i="5"/>
  <c r="F22" i="2"/>
  <c r="F27" i="5"/>
  <c r="C18" i="2"/>
  <c r="C7" i="5" s="1"/>
  <c r="C22" i="2"/>
  <c r="C23" i="5"/>
  <c r="D27" i="5"/>
  <c r="G22" i="2"/>
  <c r="G23" i="5"/>
  <c r="G18" i="2"/>
  <c r="G7" i="5" s="1"/>
  <c r="G27" i="5"/>
  <c r="E27" i="5"/>
  <c r="D22" i="2"/>
  <c r="E23" i="5"/>
  <c r="D23" i="5"/>
  <c r="E22" i="2"/>
  <c r="G34" i="5"/>
  <c r="D34" i="5"/>
  <c r="F20" i="3"/>
  <c r="F36" i="3" s="1"/>
  <c r="C34" i="5"/>
  <c r="E34" i="5"/>
  <c r="C36" i="3"/>
  <c r="D36" i="3"/>
  <c r="F34" i="5"/>
  <c r="G36" i="3"/>
  <c r="H14" i="4"/>
  <c r="I14" i="4"/>
  <c r="I12" i="2"/>
  <c r="H15" i="2"/>
  <c r="H17" i="2" s="1"/>
  <c r="H18" i="2" s="1"/>
  <c r="H7" i="5" s="1"/>
  <c r="G22" i="5"/>
  <c r="H29" i="3"/>
  <c r="H8" i="4" s="1"/>
  <c r="I6" i="5"/>
  <c r="I29" i="3"/>
  <c r="H6" i="5"/>
  <c r="H12" i="2"/>
  <c r="E20" i="3"/>
  <c r="E36" i="3" s="1"/>
  <c r="I15" i="2"/>
  <c r="I17" i="2" s="1"/>
  <c r="D22" i="5"/>
  <c r="C22" i="5"/>
  <c r="J13" i="2" l="1"/>
  <c r="J11" i="2"/>
  <c r="J30" i="3"/>
  <c r="J21" i="2"/>
  <c r="J8" i="2"/>
  <c r="J6" i="2"/>
  <c r="J26" i="5" s="1"/>
  <c r="J14" i="2"/>
  <c r="L11" i="1"/>
  <c r="K6" i="1"/>
  <c r="J53" i="1"/>
  <c r="J52" i="1"/>
  <c r="J7" i="1"/>
  <c r="J54" i="1"/>
  <c r="J50" i="1"/>
  <c r="J55" i="1"/>
  <c r="J48" i="1"/>
  <c r="K5" i="2"/>
  <c r="G10" i="5"/>
  <c r="G26" i="2"/>
  <c r="G24" i="2"/>
  <c r="C10" i="5"/>
  <c r="C24" i="2"/>
  <c r="C26" i="2"/>
  <c r="F10" i="5"/>
  <c r="F26" i="2"/>
  <c r="F24" i="2"/>
  <c r="D26" i="2"/>
  <c r="D24" i="2"/>
  <c r="D10" i="5"/>
  <c r="E10" i="5"/>
  <c r="E26" i="2"/>
  <c r="E24" i="2"/>
  <c r="I8" i="4"/>
  <c r="H23" i="5"/>
  <c r="H27" i="5"/>
  <c r="I18" i="2"/>
  <c r="I7" i="5" s="1"/>
  <c r="I27" i="5"/>
  <c r="I23" i="5"/>
  <c r="K51" i="1" l="1"/>
  <c r="K54" i="1"/>
  <c r="K52" i="1"/>
  <c r="K50" i="1"/>
  <c r="K7" i="1"/>
  <c r="K55" i="1"/>
  <c r="K48" i="1"/>
  <c r="K53" i="1"/>
  <c r="L5" i="2"/>
  <c r="M11" i="1"/>
  <c r="K21" i="2"/>
  <c r="K8" i="2"/>
  <c r="K6" i="2"/>
  <c r="K26" i="5" s="1"/>
  <c r="K11" i="2"/>
  <c r="K14" i="2"/>
  <c r="K13" i="2"/>
  <c r="K30" i="3"/>
  <c r="J15" i="3"/>
  <c r="J18" i="3" s="1"/>
  <c r="J15" i="2"/>
  <c r="J17" i="2" s="1"/>
  <c r="J6" i="5"/>
  <c r="J29" i="3"/>
  <c r="J8" i="4" s="1"/>
  <c r="J12" i="2"/>
  <c r="F29" i="2"/>
  <c r="F13" i="5" s="1"/>
  <c r="F33" i="5" s="1"/>
  <c r="F9" i="5"/>
  <c r="F27" i="2"/>
  <c r="F8" i="5" s="1"/>
  <c r="F28" i="5"/>
  <c r="F6" i="4"/>
  <c r="F9" i="4" s="1"/>
  <c r="D29" i="2"/>
  <c r="D13" i="5" s="1"/>
  <c r="D9" i="5"/>
  <c r="D28" i="5"/>
  <c r="D6" i="4"/>
  <c r="D9" i="4" s="1"/>
  <c r="D27" i="2"/>
  <c r="D8" i="5" s="1"/>
  <c r="C9" i="5"/>
  <c r="C29" i="2"/>
  <c r="C13" i="5" s="1"/>
  <c r="C33" i="5" s="1"/>
  <c r="C6" i="4"/>
  <c r="C9" i="4" s="1"/>
  <c r="C27" i="2"/>
  <c r="C8" i="5" s="1"/>
  <c r="E6" i="4"/>
  <c r="E9" i="4" s="1"/>
  <c r="E29" i="2"/>
  <c r="E13" i="5" s="1"/>
  <c r="E27" i="2"/>
  <c r="E8" i="5" s="1"/>
  <c r="E9" i="5"/>
  <c r="E28" i="5"/>
  <c r="G9" i="5"/>
  <c r="G6" i="4"/>
  <c r="G9" i="4" s="1"/>
  <c r="G27" i="2"/>
  <c r="G8" i="5" s="1"/>
  <c r="G29" i="2"/>
  <c r="G13" i="5" s="1"/>
  <c r="G28" i="5"/>
  <c r="N11" i="1" l="1"/>
  <c r="M51" i="1"/>
  <c r="K12" i="2"/>
  <c r="K29" i="3"/>
  <c r="K15" i="2"/>
  <c r="K17" i="2" s="1"/>
  <c r="K15" i="3"/>
  <c r="K18" i="3" s="1"/>
  <c r="L54" i="1"/>
  <c r="M5" i="2"/>
  <c r="L55" i="1"/>
  <c r="L48" i="1"/>
  <c r="L7" i="1"/>
  <c r="L37" i="1"/>
  <c r="L52" i="1"/>
  <c r="L53" i="1"/>
  <c r="L50" i="1"/>
  <c r="L51" i="1"/>
  <c r="L11" i="2"/>
  <c r="L8" i="2"/>
  <c r="L30" i="3"/>
  <c r="L6" i="2"/>
  <c r="L26" i="5" s="1"/>
  <c r="L21" i="2"/>
  <c r="L14" i="2"/>
  <c r="L13" i="2"/>
  <c r="L39" i="5"/>
  <c r="L6" i="5"/>
  <c r="J23" i="5"/>
  <c r="J18" i="2"/>
  <c r="J7" i="5" s="1"/>
  <c r="J27" i="5"/>
  <c r="K6" i="5"/>
  <c r="F15" i="5"/>
  <c r="E15" i="5"/>
  <c r="E33" i="5"/>
  <c r="E25" i="4"/>
  <c r="E26" i="4" s="1"/>
  <c r="E21" i="4"/>
  <c r="E23" i="4" s="1"/>
  <c r="C25" i="4"/>
  <c r="C26" i="4" s="1"/>
  <c r="C21" i="4"/>
  <c r="C23" i="4" s="1"/>
  <c r="G15" i="5"/>
  <c r="G33" i="5"/>
  <c r="D33" i="5"/>
  <c r="D15" i="5"/>
  <c r="D25" i="4"/>
  <c r="D26" i="4" s="1"/>
  <c r="D21" i="4"/>
  <c r="D23" i="4" s="1"/>
  <c r="F25" i="4"/>
  <c r="F26" i="4" s="1"/>
  <c r="F21" i="4"/>
  <c r="F23" i="4" s="1"/>
  <c r="G21" i="4"/>
  <c r="G23" i="4" s="1"/>
  <c r="G25" i="4"/>
  <c r="G26" i="4" s="1"/>
  <c r="K23" i="5" l="1"/>
  <c r="K27" i="5"/>
  <c r="K18" i="2"/>
  <c r="K7" i="5" s="1"/>
  <c r="M14" i="2"/>
  <c r="M21" i="2"/>
  <c r="M13" i="2"/>
  <c r="M11" i="2"/>
  <c r="M6" i="5" s="1"/>
  <c r="M8" i="2"/>
  <c r="M30" i="3"/>
  <c r="M6" i="2"/>
  <c r="M26" i="5" s="1"/>
  <c r="K8" i="4"/>
  <c r="L29" i="3"/>
  <c r="L8" i="4" s="1"/>
  <c r="L12" i="2"/>
  <c r="L15" i="3"/>
  <c r="L18" i="3" s="1"/>
  <c r="L15" i="2"/>
  <c r="L17" i="2" s="1"/>
  <c r="M52" i="1"/>
  <c r="N5" i="2"/>
  <c r="M48" i="1"/>
  <c r="M37" i="1"/>
  <c r="M53" i="1"/>
  <c r="M50" i="1"/>
  <c r="M55" i="1"/>
  <c r="M7" i="1"/>
  <c r="M54" i="1"/>
  <c r="O11" i="1"/>
  <c r="L23" i="5"/>
  <c r="N51" i="1" l="1"/>
  <c r="O5" i="2"/>
  <c r="N50" i="1"/>
  <c r="N52" i="1"/>
  <c r="N53" i="1"/>
  <c r="N37" i="1"/>
  <c r="N54" i="1"/>
  <c r="N7" i="1"/>
  <c r="N55" i="1"/>
  <c r="N48" i="1"/>
  <c r="N8" i="2"/>
  <c r="N30" i="3"/>
  <c r="N6" i="2"/>
  <c r="N26" i="5" s="1"/>
  <c r="N14" i="2"/>
  <c r="N13" i="2"/>
  <c r="N11" i="2"/>
  <c r="N6" i="5" s="1"/>
  <c r="N21" i="2"/>
  <c r="P11" i="1"/>
  <c r="O51" i="1"/>
  <c r="L18" i="2"/>
  <c r="L7" i="5" s="1"/>
  <c r="L27" i="5"/>
  <c r="M12" i="2"/>
  <c r="M15" i="3"/>
  <c r="M18" i="3" s="1"/>
  <c r="M15" i="2"/>
  <c r="M17" i="2" s="1"/>
  <c r="M29" i="3"/>
  <c r="M27" i="5" l="1"/>
  <c r="M23" i="5"/>
  <c r="M8" i="4"/>
  <c r="P51" i="1"/>
  <c r="M18" i="2"/>
  <c r="M7" i="5" s="1"/>
  <c r="O14" i="2"/>
  <c r="O13" i="2"/>
  <c r="O11" i="2"/>
  <c r="O6" i="5" s="1"/>
  <c r="O30" i="3"/>
  <c r="O8" i="2"/>
  <c r="O6" i="2"/>
  <c r="O26" i="5" s="1"/>
  <c r="O21" i="2"/>
  <c r="O54" i="1"/>
  <c r="P5" i="2"/>
  <c r="O37" i="1"/>
  <c r="O53" i="1"/>
  <c r="O55" i="1"/>
  <c r="O50" i="1"/>
  <c r="O52" i="1"/>
  <c r="O48" i="1"/>
  <c r="O7" i="1"/>
  <c r="N29" i="3"/>
  <c r="N15" i="3"/>
  <c r="N18" i="3" s="1"/>
  <c r="N12" i="2"/>
  <c r="N15" i="2"/>
  <c r="N17" i="2" s="1"/>
  <c r="N27" i="5" l="1"/>
  <c r="N23" i="5"/>
  <c r="N8" i="4"/>
  <c r="P50" i="1"/>
  <c r="Q5" i="2"/>
  <c r="P53" i="1"/>
  <c r="P37" i="1"/>
  <c r="P48" i="1"/>
  <c r="P55" i="1"/>
  <c r="P7" i="1"/>
  <c r="P52" i="1"/>
  <c r="P54" i="1"/>
  <c r="N18" i="2"/>
  <c r="N7" i="5" s="1"/>
  <c r="O15" i="2"/>
  <c r="O17" i="2" s="1"/>
  <c r="O12" i="2"/>
  <c r="O29" i="3"/>
  <c r="O15" i="3"/>
  <c r="O18" i="3" s="1"/>
  <c r="P14" i="2"/>
  <c r="P13" i="2"/>
  <c r="P8" i="2"/>
  <c r="P6" i="2"/>
  <c r="P26" i="5" s="1"/>
  <c r="P11" i="2"/>
  <c r="P6" i="5" s="1"/>
  <c r="P30" i="3"/>
  <c r="P21" i="2"/>
  <c r="L41" i="5" l="1"/>
  <c r="O27" i="5"/>
  <c r="O23" i="5"/>
  <c r="O8" i="4"/>
  <c r="P15" i="3"/>
  <c r="P18" i="3" s="1"/>
  <c r="P15" i="2"/>
  <c r="P17" i="2" s="1"/>
  <c r="P12" i="2"/>
  <c r="P29" i="3"/>
  <c r="O18" i="2"/>
  <c r="O7" i="5" s="1"/>
  <c r="Q30" i="3"/>
  <c r="Q13" i="2"/>
  <c r="Q21" i="2"/>
  <c r="Q11" i="2"/>
  <c r="Q6" i="5" s="1"/>
  <c r="Q8" i="2"/>
  <c r="Q6" i="2"/>
  <c r="Q26" i="5" s="1"/>
  <c r="Q14" i="2"/>
  <c r="P23" i="5" l="1"/>
  <c r="P27" i="5"/>
  <c r="P8" i="4"/>
  <c r="Q29" i="3"/>
  <c r="Q12" i="2"/>
  <c r="Q15" i="3"/>
  <c r="Q18" i="3" s="1"/>
  <c r="Q15" i="2"/>
  <c r="Q17" i="2" s="1"/>
  <c r="Q23" i="5" s="1"/>
  <c r="P18" i="2"/>
  <c r="P7" i="5" s="1"/>
  <c r="Q27" i="5" l="1"/>
  <c r="Q8" i="4"/>
  <c r="Q18" i="2"/>
  <c r="Q7" i="5" s="1"/>
  <c r="D97" i="6" l="1"/>
  <c r="B99" i="6"/>
  <c r="B98" i="6"/>
  <c r="B97" i="6"/>
  <c r="H7" i="4" l="1"/>
  <c r="H24" i="3"/>
  <c r="H22" i="2"/>
  <c r="H23" i="2" s="1"/>
  <c r="H26" i="2" l="1"/>
  <c r="H24" i="2"/>
  <c r="H30" i="4" s="1"/>
  <c r="H31" i="4" l="1"/>
  <c r="B16" i="6"/>
  <c r="B21" i="6" s="1"/>
  <c r="H18" i="4"/>
  <c r="H19" i="4" s="1"/>
  <c r="H6" i="4"/>
  <c r="H9" i="4" s="1"/>
  <c r="H29" i="2"/>
  <c r="H13" i="5" s="1"/>
  <c r="H28" i="5"/>
  <c r="H27" i="2"/>
  <c r="H8" i="5" s="1"/>
  <c r="H7" i="3"/>
  <c r="H8" i="3" l="1"/>
  <c r="H15" i="5"/>
  <c r="H33" i="5"/>
  <c r="H25" i="4"/>
  <c r="H26" i="4" s="1"/>
  <c r="H21" i="4"/>
  <c r="H23" i="4" s="1"/>
  <c r="H14" i="5" l="1"/>
  <c r="H35" i="5" s="1"/>
  <c r="H20" i="3"/>
  <c r="H21" i="5"/>
  <c r="H10" i="5"/>
  <c r="H9" i="5"/>
  <c r="H31" i="3" l="1"/>
  <c r="H34" i="5" l="1"/>
  <c r="I22" i="4"/>
  <c r="H22" i="5"/>
  <c r="H34" i="3"/>
  <c r="H36" i="3" s="1"/>
  <c r="I7" i="4"/>
  <c r="I22" i="2"/>
  <c r="I24" i="3"/>
  <c r="I23" i="2" l="1"/>
  <c r="I26" i="2" l="1"/>
  <c r="I24" i="2"/>
  <c r="I30" i="4" s="1"/>
  <c r="I6" i="4" l="1"/>
  <c r="I9" i="4" s="1"/>
  <c r="I18" i="4"/>
  <c r="I19" i="4" s="1"/>
  <c r="I27" i="2"/>
  <c r="I8" i="5" s="1"/>
  <c r="I7" i="3"/>
  <c r="I28" i="5"/>
  <c r="I29" i="2"/>
  <c r="I13" i="5" s="1"/>
  <c r="C16" i="6"/>
  <c r="C21" i="6" s="1"/>
  <c r="I31" i="4"/>
  <c r="I8" i="3" l="1"/>
  <c r="I33" i="5"/>
  <c r="I15" i="5"/>
  <c r="I21" i="4"/>
  <c r="I23" i="4" s="1"/>
  <c r="I25" i="4"/>
  <c r="I26" i="4" s="1"/>
  <c r="I20" i="3" l="1"/>
  <c r="I21" i="5"/>
  <c r="I14" i="5"/>
  <c r="I35" i="5" s="1"/>
  <c r="I10" i="5"/>
  <c r="I9" i="5"/>
  <c r="I31" i="3" l="1"/>
  <c r="I22" i="5" l="1"/>
  <c r="J22" i="4"/>
  <c r="I34" i="5"/>
  <c r="I34" i="3"/>
  <c r="I36" i="3" s="1"/>
  <c r="J7" i="4"/>
  <c r="J22" i="2"/>
  <c r="J23" i="2" s="1"/>
  <c r="J24" i="3"/>
  <c r="J24" i="2" l="1"/>
  <c r="J30" i="4" s="1"/>
  <c r="J26" i="2"/>
  <c r="J28" i="5" l="1"/>
  <c r="J6" i="4"/>
  <c r="J9" i="4" s="1"/>
  <c r="J18" i="4"/>
  <c r="J19" i="4" s="1"/>
  <c r="J7" i="3"/>
  <c r="J27" i="2"/>
  <c r="J8" i="5" s="1"/>
  <c r="J29" i="2"/>
  <c r="J13" i="5" s="1"/>
  <c r="D16" i="6"/>
  <c r="D21" i="6" s="1"/>
  <c r="J31" i="4"/>
  <c r="J33" i="5" l="1"/>
  <c r="J15" i="5"/>
  <c r="J8" i="3"/>
  <c r="J21" i="4"/>
  <c r="J23" i="4" s="1"/>
  <c r="J25" i="4"/>
  <c r="J26" i="4" s="1"/>
  <c r="J21" i="5" l="1"/>
  <c r="J20" i="3"/>
  <c r="J14" i="5"/>
  <c r="J35" i="5" s="1"/>
  <c r="J10" i="5"/>
  <c r="J9" i="5"/>
  <c r="J31" i="3" l="1"/>
  <c r="J34" i="5" l="1"/>
  <c r="J22" i="5"/>
  <c r="K22" i="4"/>
  <c r="J34" i="3"/>
  <c r="J36" i="3" s="1"/>
  <c r="K7" i="4"/>
  <c r="K23" i="2"/>
  <c r="K24" i="2" s="1"/>
  <c r="K30" i="4" s="1"/>
  <c r="K24" i="3"/>
  <c r="K22" i="2"/>
  <c r="E16" i="6" l="1"/>
  <c r="E21" i="6" s="1"/>
  <c r="K31" i="4"/>
  <c r="K26" i="2"/>
  <c r="K29" i="2" l="1"/>
  <c r="K13" i="5" s="1"/>
  <c r="K18" i="4"/>
  <c r="K19" i="4" s="1"/>
  <c r="K28" i="5"/>
  <c r="K7" i="3"/>
  <c r="K27" i="2"/>
  <c r="K8" i="5" s="1"/>
  <c r="K6" i="4"/>
  <c r="K9" i="4" s="1"/>
  <c r="K25" i="4" l="1"/>
  <c r="K26" i="4" s="1"/>
  <c r="K21" i="4"/>
  <c r="K23" i="4" s="1"/>
  <c r="K8" i="3"/>
  <c r="K33" i="5"/>
  <c r="K15" i="5"/>
  <c r="K20" i="3" l="1"/>
  <c r="K21" i="5"/>
  <c r="K14" i="5"/>
  <c r="K35" i="5" s="1"/>
  <c r="K10" i="5"/>
  <c r="K9" i="5"/>
  <c r="K31" i="3" l="1"/>
  <c r="K34" i="5" l="1"/>
  <c r="L22" i="4"/>
  <c r="K34" i="3"/>
  <c r="K36" i="3" s="1"/>
  <c r="K22" i="5"/>
  <c r="L7" i="4"/>
  <c r="L22" i="2"/>
  <c r="L23" i="2" s="1"/>
  <c r="L24" i="3"/>
  <c r="L26" i="2" l="1"/>
  <c r="L24" i="2"/>
  <c r="L30" i="4" s="1"/>
  <c r="L31" i="4" l="1"/>
  <c r="F16" i="6"/>
  <c r="F21" i="6" s="1"/>
  <c r="L6" i="4"/>
  <c r="L9" i="4" s="1"/>
  <c r="L7" i="3"/>
  <c r="L40" i="5"/>
  <c r="L29" i="2"/>
  <c r="L13" i="5" s="1"/>
  <c r="L28" i="5"/>
  <c r="L18" i="4"/>
  <c r="L19" i="4" s="1"/>
  <c r="L27" i="2"/>
  <c r="L8" i="5" s="1"/>
  <c r="C98" i="6" l="1"/>
  <c r="D98" i="6"/>
  <c r="L15" i="5"/>
  <c r="L33" i="5"/>
  <c r="L25" i="4"/>
  <c r="L26" i="4" s="1"/>
  <c r="L21" i="4"/>
  <c r="L23" i="4" s="1"/>
  <c r="L8" i="3"/>
  <c r="L21" i="5" l="1"/>
  <c r="L20" i="3"/>
  <c r="L14" i="5"/>
  <c r="L35" i="5" s="1"/>
  <c r="L10" i="5"/>
  <c r="L9" i="5"/>
  <c r="L31" i="3" l="1"/>
  <c r="L22" i="5" l="1"/>
  <c r="M22" i="4"/>
  <c r="L34" i="5"/>
  <c r="L34" i="3"/>
  <c r="L36" i="3" s="1"/>
  <c r="C99" i="6" l="1"/>
  <c r="D99" i="6"/>
  <c r="M7" i="4"/>
  <c r="M22" i="2"/>
  <c r="M23" i="2" s="1"/>
  <c r="M24" i="3"/>
  <c r="M26" i="2" l="1"/>
  <c r="M24" i="2"/>
  <c r="M30" i="4" s="1"/>
  <c r="G16" i="6" l="1"/>
  <c r="G21" i="6" s="1"/>
  <c r="M31" i="4"/>
  <c r="M18" i="4"/>
  <c r="M19" i="4" s="1"/>
  <c r="M7" i="3"/>
  <c r="M6" i="4"/>
  <c r="M9" i="4" s="1"/>
  <c r="M28" i="5"/>
  <c r="M27" i="2"/>
  <c r="M29" i="2"/>
  <c r="M13" i="5" s="1"/>
  <c r="M8" i="5" l="1"/>
  <c r="L28" i="1"/>
  <c r="M15" i="5"/>
  <c r="M33" i="5"/>
  <c r="M25" i="4"/>
  <c r="M26" i="4" s="1"/>
  <c r="M21" i="4"/>
  <c r="M23" i="4" s="1"/>
  <c r="M8" i="3"/>
  <c r="M20" i="3" l="1"/>
  <c r="M21" i="5"/>
  <c r="M14" i="5"/>
  <c r="M35" i="5" s="1"/>
  <c r="M10" i="5"/>
  <c r="M9" i="5"/>
  <c r="M31" i="3" l="1"/>
  <c r="N22" i="4" l="1"/>
  <c r="M34" i="5"/>
  <c r="M22" i="5"/>
  <c r="M34" i="3"/>
  <c r="M36" i="3" s="1"/>
  <c r="N7" i="4"/>
  <c r="N22" i="2"/>
  <c r="N23" i="2" s="1"/>
  <c r="N24" i="3"/>
  <c r="N24" i="2" l="1"/>
  <c r="N30" i="4" s="1"/>
  <c r="N26" i="2"/>
  <c r="N6" i="4" l="1"/>
  <c r="N9" i="4" s="1"/>
  <c r="N28" i="5"/>
  <c r="N27" i="2"/>
  <c r="N18" i="4"/>
  <c r="N19" i="4" s="1"/>
  <c r="N29" i="2"/>
  <c r="N13" i="5" s="1"/>
  <c r="N7" i="3"/>
  <c r="H16" i="6"/>
  <c r="H21" i="6" s="1"/>
  <c r="N31" i="4"/>
  <c r="N8" i="5" l="1"/>
  <c r="M28" i="1"/>
  <c r="N8" i="3"/>
  <c r="N15" i="5"/>
  <c r="N33" i="5"/>
  <c r="N25" i="4"/>
  <c r="N26" i="4" s="1"/>
  <c r="N21" i="4"/>
  <c r="N23" i="4" s="1"/>
  <c r="N14" i="5" l="1"/>
  <c r="N35" i="5" s="1"/>
  <c r="N10" i="5"/>
  <c r="N21" i="5"/>
  <c r="N20" i="3"/>
  <c r="N9" i="5"/>
  <c r="N31" i="3" l="1"/>
  <c r="N22" i="5" l="1"/>
  <c r="N34" i="3"/>
  <c r="N36" i="3" s="1"/>
  <c r="N34" i="5"/>
  <c r="O22" i="4"/>
  <c r="O7" i="4"/>
  <c r="O24" i="3"/>
  <c r="O22" i="2"/>
  <c r="O23" i="2" s="1"/>
  <c r="O26" i="2" s="1"/>
  <c r="O7" i="3" l="1"/>
  <c r="O29" i="2"/>
  <c r="O13" i="5" s="1"/>
  <c r="O18" i="4"/>
  <c r="O19" i="4" s="1"/>
  <c r="O6" i="4"/>
  <c r="O9" i="4" s="1"/>
  <c r="O27" i="2"/>
  <c r="O28" i="5"/>
  <c r="O24" i="2"/>
  <c r="O30" i="4" s="1"/>
  <c r="O8" i="5" l="1"/>
  <c r="N28" i="1"/>
  <c r="O31" i="4"/>
  <c r="I16" i="6"/>
  <c r="I21" i="6" s="1"/>
  <c r="O8" i="3"/>
  <c r="O25" i="4"/>
  <c r="O26" i="4" s="1"/>
  <c r="O21" i="4"/>
  <c r="O23" i="4" s="1"/>
  <c r="O33" i="5"/>
  <c r="O15" i="5"/>
  <c r="O14" i="5" l="1"/>
  <c r="O35" i="5" s="1"/>
  <c r="O10" i="5"/>
  <c r="O21" i="5"/>
  <c r="O20" i="3"/>
  <c r="O9" i="5"/>
  <c r="O31" i="3" l="1"/>
  <c r="P22" i="4" l="1"/>
  <c r="O34" i="5"/>
  <c r="O22" i="5"/>
  <c r="O34" i="3"/>
  <c r="O36" i="3" s="1"/>
  <c r="P7" i="4"/>
  <c r="P22" i="2"/>
  <c r="P24" i="3"/>
  <c r="P23" i="2" l="1"/>
  <c r="P24" i="2" s="1"/>
  <c r="P30" i="4" s="1"/>
  <c r="P26" i="2" l="1"/>
  <c r="J16" i="6"/>
  <c r="J21" i="6" s="1"/>
  <c r="P31" i="4"/>
  <c r="P6" i="4" l="1"/>
  <c r="P9" i="4" s="1"/>
  <c r="P7" i="3"/>
  <c r="P27" i="2"/>
  <c r="P18" i="4"/>
  <c r="P19" i="4" s="1"/>
  <c r="P29" i="2"/>
  <c r="P13" i="5" s="1"/>
  <c r="P28" i="5"/>
  <c r="P8" i="5" l="1"/>
  <c r="O28" i="1"/>
  <c r="P15" i="5"/>
  <c r="P33" i="5"/>
  <c r="P8" i="3"/>
  <c r="P25" i="4"/>
  <c r="P26" i="4" s="1"/>
  <c r="P21" i="4"/>
  <c r="P23" i="4" s="1"/>
  <c r="P20" i="3" l="1"/>
  <c r="P14" i="5"/>
  <c r="P35" i="5" s="1"/>
  <c r="P21" i="5"/>
  <c r="P10" i="5"/>
  <c r="P9" i="5"/>
  <c r="P31" i="3" l="1"/>
  <c r="Q22" i="4" l="1"/>
  <c r="P34" i="5"/>
  <c r="P22" i="5"/>
  <c r="P34" i="3"/>
  <c r="P36" i="3" s="1"/>
  <c r="Q7" i="4"/>
  <c r="Q24" i="3"/>
  <c r="Q22" i="2"/>
  <c r="Q23" i="2" s="1"/>
  <c r="Q24" i="2" l="1"/>
  <c r="Q30" i="4" s="1"/>
  <c r="Q26" i="2"/>
  <c r="Q6" i="4" l="1"/>
  <c r="Q9" i="4" s="1"/>
  <c r="Q27" i="2"/>
  <c r="L42" i="5"/>
  <c r="Q7" i="3"/>
  <c r="Q8" i="3" s="1"/>
  <c r="Q28" i="5"/>
  <c r="Q18" i="4"/>
  <c r="Q19" i="4" s="1"/>
  <c r="Q29" i="2"/>
  <c r="Q13" i="5" s="1"/>
  <c r="K16" i="6"/>
  <c r="Q31" i="4"/>
  <c r="Q8" i="5" l="1"/>
  <c r="P28" i="1"/>
  <c r="Q14" i="5"/>
  <c r="Q35" i="5" s="1"/>
  <c r="Q20" i="3"/>
  <c r="Q21" i="5"/>
  <c r="Q10" i="5"/>
  <c r="B24" i="6"/>
  <c r="B25" i="6" s="1"/>
  <c r="K21" i="6"/>
  <c r="B23" i="6" s="1"/>
  <c r="Q33" i="5"/>
  <c r="Q15" i="5"/>
  <c r="Q21" i="4"/>
  <c r="Q23" i="4" s="1"/>
  <c r="Q25" i="4"/>
  <c r="Q26" i="4" s="1"/>
  <c r="Q9" i="5"/>
  <c r="B27" i="6" l="1"/>
  <c r="B29" i="6" s="1"/>
  <c r="B31" i="6" s="1"/>
  <c r="Q31" i="3"/>
  <c r="C92" i="6" l="1"/>
  <c r="C97" i="6" s="1"/>
  <c r="A36" i="6"/>
  <c r="B102" i="6"/>
  <c r="D102" i="6" s="1"/>
  <c r="D107" i="6" s="1"/>
  <c r="B110" i="6" s="1"/>
  <c r="B111" i="6"/>
  <c r="Q22" i="5"/>
  <c r="Q34" i="5"/>
  <c r="Q34" i="3"/>
  <c r="Q36" i="3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Harsh Vijay</author>
  </authors>
  <commentList>
    <comment ref="G6" authorId="0" shapeId="0" xr:uid="{0F31B87A-B1C1-439F-9D10-86F8F1C5291D}">
      <text>
        <r>
          <rPr>
            <b/>
            <sz val="9"/>
            <color indexed="81"/>
            <rFont val="Tahoma"/>
            <family val="2"/>
          </rPr>
          <t>Revenue = Sum of all verticals. Mgmt guided ₹400 Cr (revised DOWN from ₹420 Cr).</t>
        </r>
      </text>
    </comment>
    <comment ref="L6" authorId="0" shapeId="0" xr:uid="{568BBF6F-43AF-43E5-ADA8-075C2DB1B31C}">
      <text>
        <r>
          <rPr>
            <b/>
            <sz val="9"/>
            <color indexed="81"/>
            <rFont val="Tahoma"/>
            <family val="2"/>
          </rPr>
          <t>Harsh Vijay:
FY31E: ~₹1,337 Cr. Revenue growth moderates to ~20% as base crosses ₹1,000 Cr. All verticals contribute; exports and own brands remain primary engines.</t>
        </r>
      </text>
    </comment>
    <comment ref="M6" authorId="0" shapeId="0" xr:uid="{45429312-0171-415A-98A2-887E959B6F3E}">
      <text>
        <r>
          <rPr>
            <b/>
            <sz val="9"/>
            <color indexed="81"/>
            <rFont val="Tahoma"/>
            <family val="2"/>
          </rPr>
          <t>Harsh Vijay:
FY32E: ~₹1,577 Cr. Growth continues at ~18% driven by export market maturation and own brand deepening.</t>
        </r>
      </text>
    </comment>
    <comment ref="N6" authorId="0" shapeId="0" xr:uid="{03930895-5055-4488-9ECE-D11319C0F038}">
      <text>
        <r>
          <rPr>
            <b/>
            <sz val="9"/>
            <color indexed="81"/>
            <rFont val="Tahoma"/>
            <family val="2"/>
          </rPr>
          <t>Harsh Vijay:
FY33E: ~₹1,835 Cr. Revenue trajectory approaching ₹2,000 Cr milestone. Growth ~16% as law of large numbers kicks in.</t>
        </r>
      </text>
    </comment>
    <comment ref="O6" authorId="0" shapeId="0" xr:uid="{818C4B89-CBE2-4FDB-805E-6FA9418F4385}">
      <text>
        <r>
          <rPr>
            <b/>
            <sz val="9"/>
            <color indexed="81"/>
            <rFont val="Tahoma"/>
            <family val="2"/>
          </rPr>
          <t>Harsh Vijay:
FY34E: ~₹2,109 Cr. Growth ~15% — steady state driven by regulated market exports + IVF ramp-up.</t>
        </r>
      </text>
    </comment>
    <comment ref="P6" authorId="0" shapeId="0" xr:uid="{6B156F8D-9F55-4857-9EC0-99F8137DA841}">
      <text>
        <r>
          <rPr>
            <b/>
            <sz val="9"/>
            <color indexed="81"/>
            <rFont val="Tahoma"/>
            <family val="2"/>
          </rPr>
          <t>Harsh Vijay:
FY35E: ~₹2,395 Cr. Terminal-period-adjacent growth ~13.6%. Business now diversified across 5 therapeutic verticals + exports.</t>
        </r>
      </text>
    </comment>
    <comment ref="G21" authorId="0" shapeId="0" xr:uid="{09C691D6-1E82-4946-826D-4A1DA479651E}">
      <text>
        <r>
          <rPr>
            <b/>
            <sz val="9"/>
            <color indexed="81"/>
            <rFont val="Tahoma"/>
            <family val="2"/>
          </rPr>
          <t>Harsh Vijay:</t>
        </r>
        <r>
          <rPr>
            <sz val="9"/>
            <color indexed="81"/>
            <rFont val="Tahoma"/>
            <family val="2"/>
          </rPr>
          <t xml:space="preserve">
COGS improving: Q3 FY26 gross margin hit 59% (up from 52% YoY). Full-year blended lower due to H1 mix. Own Brands + backward integration (34 in-house APIs) driving structural improvement. Nivian consolidation adds slightly higher-margin IVF products.</t>
        </r>
      </text>
    </comment>
    <comment ref="H21" authorId="0" shapeId="0" xr:uid="{7D36158A-EE42-4AC2-B2E4-09D68C8A78DA}">
      <text>
        <r>
          <rPr>
            <b/>
            <sz val="9"/>
            <color indexed="81"/>
            <rFont val="Tahoma"/>
            <family val="2"/>
          </rPr>
          <t>Harsh Vijay:</t>
        </r>
        <r>
          <rPr>
            <sz val="9"/>
            <color indexed="81"/>
            <rFont val="Tahoma"/>
            <family val="2"/>
          </rPr>
          <t xml:space="preserve">
FY27E: Continued improvement as Own Brands share increases and Nivian cross-selling gains traction.</t>
        </r>
      </text>
    </comment>
    <comment ref="I21" authorId="0" shapeId="0" xr:uid="{321A2527-FF95-4C33-A872-5D59FDACDF5D}">
      <text>
        <r>
          <rPr>
            <b/>
            <sz val="9"/>
            <color indexed="81"/>
            <rFont val="Tahoma"/>
            <family val="2"/>
          </rPr>
          <t>Harsh Vijay:</t>
        </r>
        <r>
          <rPr>
            <sz val="9"/>
            <color indexed="81"/>
            <rFont val="Tahoma"/>
            <family val="2"/>
          </rPr>
          <t xml:space="preserve">
FY28E: In-house API production fully scaled at Adley Lab + Derabassi.</t>
        </r>
      </text>
    </comment>
    <comment ref="J21" authorId="0" shapeId="0" xr:uid="{6BE2FE52-F0FC-4AD6-BE37-DC0A7DBD1BE0}">
      <text>
        <r>
          <rPr>
            <b/>
            <sz val="9"/>
            <color indexed="81"/>
            <rFont val="Tahoma"/>
            <family val="2"/>
          </rPr>
          <t>Harsh Vijay:</t>
        </r>
        <r>
          <rPr>
            <sz val="9"/>
            <color indexed="81"/>
            <rFont val="Tahoma"/>
            <family val="2"/>
          </rPr>
          <t xml:space="preserve">
FY29E: Regulated market exports carry higher margins. Export mix shift positive.</t>
        </r>
      </text>
    </comment>
    <comment ref="K21" authorId="0" shapeId="0" xr:uid="{7D197441-20EC-494C-978B-6FD42D61A73E}">
      <text>
        <r>
          <rPr>
            <b/>
            <sz val="9"/>
            <color indexed="81"/>
            <rFont val="Tahoma"/>
            <family val="2"/>
          </rPr>
          <t>Harsh Vijay:</t>
        </r>
        <r>
          <rPr>
            <sz val="9"/>
            <color indexed="81"/>
            <rFont val="Tahoma"/>
            <family val="2"/>
          </rPr>
          <t xml:space="preserve">
FY30E: Mature margin profile; ~58% gross margin.</t>
        </r>
      </text>
    </comment>
    <comment ref="L21" authorId="0" shapeId="0" xr:uid="{6B9A5B81-1CD3-4D94-9E5E-CCA3951FB5D3}">
      <text>
        <r>
          <rPr>
            <b/>
            <sz val="9"/>
            <color indexed="81"/>
            <rFont val="Tahoma"/>
            <family val="2"/>
          </rPr>
          <t>Harsh Vijay:
FY31E COGS: 41%. Backward integration (34 APIs in-house) + product mix shift toward own brands and exports driving structural COGS improvement. Each % improvement = ~₹13 Cr at ~₹1,337 Cr revenue.</t>
        </r>
      </text>
    </comment>
    <comment ref="M21" authorId="0" shapeId="0" xr:uid="{B563A4C6-20A0-40E4-8CE3-074E3307AE2E}">
      <text>
        <r>
          <rPr>
            <b/>
            <sz val="9"/>
            <color indexed="81"/>
            <rFont val="Tahoma"/>
            <family val="2"/>
          </rPr>
          <t>Harsh Vijay:</t>
        </r>
        <r>
          <rPr>
            <sz val="9"/>
            <color indexed="81"/>
            <rFont val="Tahoma"/>
            <family val="2"/>
          </rPr>
          <t xml:space="preserve">
FY32E COGS: 40%. Continued scale benefits from backward integration. Oncology API self-sufficiency approaching full capability.</t>
        </r>
      </text>
    </comment>
    <comment ref="N21" authorId="0" shapeId="0" xr:uid="{0ADEC89D-1A47-469C-AB14-2B5933125593}">
      <text>
        <r>
          <rPr>
            <b/>
            <sz val="9"/>
            <color indexed="81"/>
            <rFont val="Tahoma"/>
            <family val="2"/>
          </rPr>
          <t>Harsh Vijay:</t>
        </r>
        <r>
          <rPr>
            <sz val="9"/>
            <color indexed="81"/>
            <rFont val="Tahoma"/>
            <family val="2"/>
          </rPr>
          <t xml:space="preserve">
FY33E COGS: 39%. Approaching structural floor for pharma company with this product mix.</t>
        </r>
      </text>
    </comment>
    <comment ref="O21" authorId="0" shapeId="0" xr:uid="{B86F5C09-FB34-4EFC-9EFD-1CBF57970A84}">
      <text>
        <r>
          <rPr>
            <b/>
            <sz val="9"/>
            <color indexed="81"/>
            <rFont val="Tahoma"/>
            <family val="2"/>
          </rPr>
          <t>Harsh Vijay:</t>
        </r>
        <r>
          <rPr>
            <sz val="9"/>
            <color indexed="81"/>
            <rFont val="Tahoma"/>
            <family val="2"/>
          </rPr>
          <t xml:space="preserve">
FY34E COGS: 38.5%. Near-terminal COGS assumption. Gross margin ~61.5% — premium for specialty pharma with backward integration.</t>
        </r>
      </text>
    </comment>
    <comment ref="P21" authorId="0" shapeId="0" xr:uid="{B44C70B6-3135-43F0-9911-42A94AA450F2}">
      <text>
        <r>
          <rPr>
            <b/>
            <sz val="9"/>
            <color indexed="81"/>
            <rFont val="Tahoma"/>
            <family val="2"/>
          </rPr>
          <t>Harsh Vijay:</t>
        </r>
        <r>
          <rPr>
            <sz val="9"/>
            <color indexed="81"/>
            <rFont val="Tahoma"/>
            <family val="2"/>
          </rPr>
          <t xml:space="preserve">
FY35E COGS: 38%. Terminal-adjacent gross margin of 62% — sustainable for vertically integrated specialty pharma.</t>
        </r>
      </text>
    </comment>
    <comment ref="G22" authorId="0" shapeId="0" xr:uid="{98089F64-EB5B-449B-9859-214B5A2CF0DD}">
      <text>
        <r>
          <rPr>
            <b/>
            <sz val="9"/>
            <color indexed="81"/>
            <rFont val="Tahoma"/>
            <family val="2"/>
          </rPr>
          <t>Harsh Vijay:</t>
        </r>
        <r>
          <rPr>
            <sz val="9"/>
            <color indexed="81"/>
            <rFont val="Tahoma"/>
            <family val="2"/>
          </rPr>
          <t xml:space="preserve">
Employee cost JUMPED 21% YoY in Q3 FY26. Hiring regulatory/QA/QC teams for EU-GMP, ANVISA approvals. This is an INVESTMENT, not inefficiency — necessary for export approvals that unlock ₹100+ Cr revenue potential. Short-term margin drag, long-term value creator.</t>
        </r>
      </text>
    </comment>
    <comment ref="H22" authorId="0" shapeId="0" xr:uid="{E0D44F75-AA5F-4C13-B4B3-A6223B8A7F41}">
      <text>
        <r>
          <rPr>
            <b/>
            <sz val="9"/>
            <color indexed="81"/>
            <rFont val="Tahoma"/>
            <family val="2"/>
          </rPr>
          <t>Harsh Vijay:
FY27E: Operating leverage kicks in as revenue grows ~35% but headcount grows ~12-15%. Fixed cost absorption improves.</t>
        </r>
      </text>
    </comment>
    <comment ref="L22" authorId="0" shapeId="0" xr:uid="{4456E24C-4CC6-4DC8-B7C0-56716B303624}">
      <text>
        <r>
          <rPr>
            <b/>
            <sz val="9"/>
            <color indexed="81"/>
            <rFont val="Tahoma"/>
            <family val="2"/>
          </rPr>
          <t>Harsh Vijay:</t>
        </r>
        <r>
          <rPr>
            <sz val="9"/>
            <color indexed="81"/>
            <rFont val="Tahoma"/>
            <family val="2"/>
          </rPr>
          <t xml:space="preserve">
FY31E Employee: 8.5%. Operating leverage fully realized — revenue growing 20% vs headcount growth ~8-10%. Front-loaded hiring in FY26 now paying off.</t>
        </r>
      </text>
    </comment>
    <comment ref="M22" authorId="0" shapeId="0" xr:uid="{C669044A-111C-4569-9429-564282536847}">
      <text>
        <r>
          <rPr>
            <b/>
            <sz val="9"/>
            <color indexed="81"/>
            <rFont val="Tahoma"/>
            <family val="2"/>
          </rPr>
          <t>Harsh Vijay:</t>
        </r>
        <r>
          <rPr>
            <sz val="9"/>
            <color indexed="81"/>
            <rFont val="Tahoma"/>
            <family val="2"/>
          </rPr>
          <t xml:space="preserve">
FY32E Employee: 8.2%. Continued operating leverage as revenue scales faster than headcount.</t>
        </r>
      </text>
    </comment>
    <comment ref="N22" authorId="0" shapeId="0" xr:uid="{B6AE13B2-7AE7-49C9-98D7-015692D2A723}">
      <text>
        <r>
          <rPr>
            <b/>
            <sz val="9"/>
            <color indexed="81"/>
            <rFont val="Tahoma"/>
            <family val="2"/>
          </rPr>
          <t>Harsh Vijay:</t>
        </r>
        <r>
          <rPr>
            <sz val="9"/>
            <color indexed="81"/>
            <rFont val="Tahoma"/>
            <family val="2"/>
          </rPr>
          <t xml:space="preserve">
FY33E Employee: 8.0%. Approaching steady-state for specialty pharma employee-to-revenue ratio.</t>
        </r>
      </text>
    </comment>
    <comment ref="O22" authorId="0" shapeId="0" xr:uid="{A26625A5-E112-46B3-83BC-DFAC7CF96A12}">
      <text>
        <r>
          <rPr>
            <b/>
            <sz val="9"/>
            <color indexed="81"/>
            <rFont val="Tahoma"/>
            <family val="2"/>
          </rPr>
          <t>Harsh Vijay:</t>
        </r>
        <r>
          <rPr>
            <sz val="9"/>
            <color indexed="81"/>
            <rFont val="Tahoma"/>
            <family val="2"/>
          </rPr>
          <t xml:space="preserve">
FY34E Employee: 7.8%. Stable — field force productivity gains offset incremental hires.</t>
        </r>
      </text>
    </comment>
    <comment ref="P22" authorId="0" shapeId="0" xr:uid="{BF31D825-7F16-4CBF-8459-25B1C8863A8B}">
      <text>
        <r>
          <rPr>
            <b/>
            <sz val="9"/>
            <color indexed="81"/>
            <rFont val="Tahoma"/>
            <family val="2"/>
          </rPr>
          <t>Harsh Vijay:</t>
        </r>
        <r>
          <rPr>
            <sz val="9"/>
            <color indexed="81"/>
            <rFont val="Tahoma"/>
            <family val="2"/>
          </rPr>
          <t xml:space="preserve">
FY35E Employee: 7.5%. Terminal employee intensity — mature organization with scaled operations.</t>
        </r>
      </text>
    </comment>
    <comment ref="G23" authorId="0" shapeId="0" xr:uid="{0A939BA1-3B54-4DF2-A0E2-794ABA4B692F}">
      <text>
        <r>
          <rPr>
            <b/>
            <sz val="9"/>
            <color indexed="81"/>
            <rFont val="Tahoma"/>
            <family val="2"/>
          </rPr>
          <t>Harsh Vijay:</t>
        </r>
        <r>
          <rPr>
            <sz val="9"/>
            <color indexed="81"/>
            <rFont val="Tahoma"/>
            <family val="2"/>
          </rPr>
          <t xml:space="preserve">
Other expenses elevated due to R&amp;D spending, Inspira brand building, ISAR sponsorship, and new market entry costs.</t>
        </r>
      </text>
    </comment>
    <comment ref="G24" authorId="0" shapeId="0" xr:uid="{BF93755A-9237-434D-90B7-187312FB9475}">
      <text>
        <r>
          <rPr>
            <b/>
            <sz val="9"/>
            <color indexed="81"/>
            <rFont val="Tahoma"/>
            <family val="2"/>
          </rPr>
          <t>Harsh Vijay:</t>
        </r>
        <r>
          <rPr>
            <sz val="9"/>
            <color indexed="81"/>
            <rFont val="Tahoma"/>
            <family val="2"/>
          </rPr>
          <t xml:space="preserve">
EBITDA margin: Q3 FY26 was 21.5%. Full-year FY26E ~22% as Nivian consolidation and employee cost drag offset gross margin improvement. Mgmt guides 24% for FY27.</t>
        </r>
      </text>
    </comment>
    <comment ref="H24" authorId="0" shapeId="0" xr:uid="{F25DD815-E8B2-4E5B-A8FE-50D1D517D7AC}">
      <text>
        <r>
          <rPr>
            <b/>
            <sz val="9"/>
            <color indexed="81"/>
            <rFont val="Tahoma"/>
            <family val="2"/>
          </rPr>
          <t>Harsh Vijay:</t>
        </r>
        <r>
          <rPr>
            <sz val="9"/>
            <color indexed="81"/>
            <rFont val="Tahoma"/>
            <family val="2"/>
          </rPr>
          <t xml:space="preserve">
FY27E: Mgmt guided 24% EBITDA margin. We model 24.5% with operating leverage + margin mix improvement.</t>
        </r>
      </text>
    </comment>
    <comment ref="L24" authorId="0" shapeId="0" xr:uid="{219B3A57-204C-4E2C-BCA4-FED8A480E8A0}">
      <text>
        <r>
          <rPr>
            <b/>
            <sz val="9"/>
            <color indexed="81"/>
            <rFont val="Tahoma"/>
            <family val="2"/>
          </rPr>
          <t>Harsh Vijay:</t>
        </r>
        <r>
          <rPr>
            <sz val="9"/>
            <color indexed="81"/>
            <rFont val="Tahoma"/>
            <family val="2"/>
          </rPr>
          <t xml:space="preserve">
FY31E EBITDA margin: 34.5%. Margin expansion driven by: (1) COGS improvement via backward integration, (2) employee operating leverage, (3) own brands + exports mix shift. Peer benchmark: established specialty pharma in India at 30-38% EBITDA margins.</t>
        </r>
      </text>
    </comment>
    <comment ref="M24" authorId="0" shapeId="0" xr:uid="{ED3DD101-273C-41F2-AEC9-B39D0022FA07}">
      <text>
        <r>
          <rPr>
            <b/>
            <sz val="9"/>
            <color indexed="81"/>
            <rFont val="Tahoma"/>
            <family val="2"/>
          </rPr>
          <t>Harsh Vijay:</t>
        </r>
        <r>
          <rPr>
            <sz val="9"/>
            <color indexed="81"/>
            <rFont val="Tahoma"/>
            <family val="2"/>
          </rPr>
          <t xml:space="preserve">
FY32E EBITDA margin: 36.3%. All three cost levers contributing. Product mix now heavily skewed toward high-margin own brands + exports.</t>
        </r>
      </text>
    </comment>
    <comment ref="N24" authorId="0" shapeId="0" xr:uid="{55DE24D7-3911-4242-ACC1-D49C9469F3EF}">
      <text>
        <r>
          <rPr>
            <b/>
            <sz val="9"/>
            <color indexed="81"/>
            <rFont val="Tahoma"/>
            <family val="2"/>
          </rPr>
          <t>Harsh Vijay:</t>
        </r>
        <r>
          <rPr>
            <sz val="9"/>
            <color indexed="81"/>
            <rFont val="Tahoma"/>
            <family val="2"/>
          </rPr>
          <t xml:space="preserve">
FY33E EBITDA margin: 38.0%. Approaching peak profitability for a specialty pharma of this scale.</t>
        </r>
      </text>
    </comment>
    <comment ref="O24" authorId="0" shapeId="0" xr:uid="{9FBB8B78-F0ED-4B50-830A-73A530ED238F}">
      <text>
        <r>
          <rPr>
            <b/>
            <sz val="9"/>
            <color indexed="81"/>
            <rFont val="Tahoma"/>
            <family val="2"/>
          </rPr>
          <t>Harsh Vijay:</t>
        </r>
        <r>
          <rPr>
            <sz val="9"/>
            <color indexed="81"/>
            <rFont val="Tahoma"/>
            <family val="2"/>
          </rPr>
          <t xml:space="preserve">
FY34E EBITDA margin: 38.9%. Near-terminal margin. Conservative vs. peers like Abbott India (~40%) given Beta's smaller scale.</t>
        </r>
      </text>
    </comment>
    <comment ref="P24" authorId="0" shapeId="0" xr:uid="{E5304F99-6EAC-459D-B481-A5DB9CCF951A}">
      <text>
        <r>
          <rPr>
            <b/>
            <sz val="9"/>
            <color indexed="81"/>
            <rFont val="Tahoma"/>
            <family val="2"/>
          </rPr>
          <t>Harsh Vijay:</t>
        </r>
        <r>
          <rPr>
            <sz val="9"/>
            <color indexed="81"/>
            <rFont val="Tahoma"/>
            <family val="2"/>
          </rPr>
          <t xml:space="preserve">
FY35E EBITDA margin: 40.0%. Terminal margin assumption — sustainable for vertically integrated specialty pharma with diversified therapeutic basket.</t>
        </r>
      </text>
    </comment>
    <comment ref="G26" authorId="0" shapeId="0" xr:uid="{BEBE0BC4-BCD1-4523-833F-D9812C6AE92E}">
      <text>
        <r>
          <rPr>
            <b/>
            <sz val="9"/>
            <color indexed="81"/>
            <rFont val="Tahoma"/>
            <family val="2"/>
          </rPr>
          <t>Harsh Vijay:</t>
        </r>
        <r>
          <rPr>
            <sz val="9"/>
            <color indexed="81"/>
            <rFont val="Tahoma"/>
            <family val="2"/>
          </rPr>
          <t xml:space="preserve">
Finance cost elevated in FY26 due to Nivian acquisition funding (₹20.82 Cr cash component). Company nearly net-debt-free otherwise.</t>
        </r>
      </text>
    </comment>
    <comment ref="G28" authorId="0" shapeId="0" xr:uid="{CA71280D-6FC8-4881-9C22-2C92B3941E5A}">
      <text>
        <r>
          <rPr>
            <b/>
            <sz val="9"/>
            <color indexed="81"/>
            <rFont val="Tahoma"/>
            <family val="2"/>
          </rPr>
          <t>Harsh Vijay:
FY26E NPM: ~15.9%. Net margin compressed due to employee cost drag and Nivian consolidation. D&amp;A impact reduced vs old model as depreciation now correctly tied to asset base (11.5% of PPE + Intangibles) rather than revenue. Recovery from FY27 as operating leverage kicks in.</t>
        </r>
      </text>
    </comment>
    <comment ref="H28" authorId="0" shapeId="0" xr:uid="{889DFEC7-8884-4425-A3D5-A4DBFDEC7E3E}">
      <text>
        <r>
          <rPr>
            <b/>
            <sz val="9"/>
            <color indexed="81"/>
            <rFont val="Tahoma"/>
            <family val="2"/>
          </rPr>
          <t>Harsh Vijay:</t>
        </r>
        <r>
          <rPr>
            <sz val="9"/>
            <color indexed="81"/>
            <rFont val="Tahoma"/>
            <family val="2"/>
          </rPr>
          <t xml:space="preserve">
Harsh Vijay:
FY27E NPM: ~17.2%. Margin recovery begins as operating leverage kicks in — revenue grows ~35% but employee cost grows ~12-15%.</t>
        </r>
      </text>
    </comment>
    <comment ref="I28" authorId="0" shapeId="0" xr:uid="{AF6FCAB0-8998-42F0-9057-CB73A69A4FEA}">
      <text>
        <r>
          <rPr>
            <b/>
            <sz val="9"/>
            <color indexed="81"/>
            <rFont val="Tahoma"/>
            <family val="2"/>
          </rPr>
          <t>Harsh Vijay:</t>
        </r>
        <r>
          <rPr>
            <sz val="9"/>
            <color indexed="81"/>
            <rFont val="Tahoma"/>
            <family val="2"/>
          </rPr>
          <t xml:space="preserve">
Harsh Vijay:
FY28E NPM: ~20.7%. Strong margin expansion as EBITDA margin hits 28% and D&amp;A remains modest relative to growing revenue.</t>
        </r>
      </text>
    </comment>
    <comment ref="J28" authorId="0" shapeId="0" xr:uid="{3E09EC6E-7D40-4450-9A97-0F4F020498C2}">
      <text>
        <r>
          <rPr>
            <b/>
            <sz val="9"/>
            <color indexed="81"/>
            <rFont val="Tahoma"/>
            <family val="2"/>
          </rPr>
          <t>Harsh Vijay:</t>
        </r>
        <r>
          <rPr>
            <sz val="9"/>
            <color indexed="81"/>
            <rFont val="Tahoma"/>
            <family val="2"/>
          </rPr>
          <t xml:space="preserve">
Harsh Vijay:
FY29E NPM: ~22.7%. Continued expansion driven by EBITDA margin of 30.5% and declining finance cost.</t>
        </r>
      </text>
    </comment>
    <comment ref="K28" authorId="0" shapeId="0" xr:uid="{9E44ACAD-DB79-486B-9DDC-5D168EB85D9F}">
      <text>
        <r>
          <rPr>
            <b/>
            <sz val="9"/>
            <color indexed="81"/>
            <rFont val="Tahoma"/>
            <family val="2"/>
          </rPr>
          <t>Harsh Vijay:</t>
        </r>
        <r>
          <rPr>
            <sz val="9"/>
            <color indexed="81"/>
            <rFont val="Tahoma"/>
            <family val="2"/>
          </rPr>
          <t xml:space="preserve">
Harsh Vijay:
FY30E NPM: ~24.3%. EBITDA margin at 32.5%. D&amp;A well-controlled as asset base depreciates efficiently.</t>
        </r>
      </text>
    </comment>
    <comment ref="L28" authorId="0" shapeId="0" xr:uid="{4F029437-80D8-4D23-B8DE-722C9F19C80D}">
      <text>
        <r>
          <rPr>
            <b/>
            <sz val="9"/>
            <color indexed="81"/>
            <rFont val="Tahoma"/>
            <family val="2"/>
          </rPr>
          <t>Harsh Vijay:
FY31E NPM: ~25.9%. Driven by EBITDA expansion to 34.5% + declining D&amp;A burden as asset base matures. D&amp;A now modeled as % of opening PPE + Intangibles (10.1%), not revenue.</t>
        </r>
      </text>
    </comment>
    <comment ref="M28" authorId="0" shapeId="0" xr:uid="{388B6E14-0616-46A8-A440-EEB7E6383EA9}">
      <text>
        <r>
          <rPr>
            <b/>
            <sz val="9"/>
            <color indexed="81"/>
            <rFont val="Tahoma"/>
            <family val="2"/>
          </rPr>
          <t>Harsh Vijay:</t>
        </r>
        <r>
          <rPr>
            <sz val="9"/>
            <color indexed="81"/>
            <rFont val="Tahoma"/>
            <family val="2"/>
          </rPr>
          <t xml:space="preserve">
Harsh Vijay:
FY32E NPM: ~27.4%. EBITDA margin at 36.3%. All cost levers contributing — COGS, employee, and other expenses all declining as % of revenue.</t>
        </r>
      </text>
    </comment>
    <comment ref="N28" authorId="0" shapeId="0" xr:uid="{743DB9E7-FDC0-437A-A350-B10E5143A7C2}">
      <text>
        <r>
          <rPr>
            <b/>
            <sz val="9"/>
            <color indexed="81"/>
            <rFont val="Tahoma"/>
            <family val="2"/>
          </rPr>
          <t>Harsh Vijay:</t>
        </r>
        <r>
          <rPr>
            <sz val="9"/>
            <color indexed="81"/>
            <rFont val="Tahoma"/>
            <family val="2"/>
          </rPr>
          <t xml:space="preserve">
Harsh Vijay:
FY33E NPM: ~28.7%. Approaching peak profitability. EBITDA margin at 38%.</t>
        </r>
      </text>
    </comment>
    <comment ref="O28" authorId="0" shapeId="0" xr:uid="{24BA7688-4878-4991-B690-8733704F9F18}">
      <text>
        <r>
          <rPr>
            <b/>
            <sz val="9"/>
            <color indexed="81"/>
            <rFont val="Tahoma"/>
            <family val="2"/>
          </rPr>
          <t>Harsh Vijay:</t>
        </r>
        <r>
          <rPr>
            <sz val="9"/>
            <color indexed="81"/>
            <rFont val="Tahoma"/>
            <family val="2"/>
          </rPr>
          <t xml:space="preserve">
Harsh Vijay:
FY34E NPM: ~29.5%. Near-terminal margin profile.</t>
        </r>
      </text>
    </comment>
    <comment ref="P28" authorId="0" shapeId="0" xr:uid="{AF0EC48B-4B2F-4022-9490-961C32CDA46D}">
      <text>
        <r>
          <rPr>
            <b/>
            <sz val="9"/>
            <color indexed="81"/>
            <rFont val="Tahoma"/>
            <family val="2"/>
          </rPr>
          <t>Harsh Vijay:</t>
        </r>
        <r>
          <rPr>
            <sz val="9"/>
            <color indexed="81"/>
            <rFont val="Tahoma"/>
            <family val="2"/>
          </rPr>
          <t xml:space="preserve">
Harsh Vijay:
FY35E NPM: ~30.3%. Terminal-adjacent net margin — sustainable for vertically integrated specialty pharma.</t>
        </r>
      </text>
    </comment>
    <comment ref="G33" authorId="0" shapeId="0" xr:uid="{21D94276-6CC5-4406-ADCF-742D80DADCC1}">
      <text>
        <r>
          <rPr>
            <b/>
            <sz val="9"/>
            <color indexed="81"/>
            <rFont val="Tahoma"/>
            <family val="2"/>
          </rPr>
          <t>Harsh Vijay:</t>
        </r>
        <r>
          <rPr>
            <sz val="9"/>
            <color indexed="81"/>
            <rFont val="Tahoma"/>
            <family val="2"/>
          </rPr>
          <t xml:space="preserve">
Debtor days improving as export mix shifts to regulated markets (better payment discipline). Nivian adds some IVF channel receivables.</t>
        </r>
      </text>
    </comment>
    <comment ref="G36" authorId="0" shapeId="0" xr:uid="{9A7F1686-E2F6-48CB-8A56-D7531D6114B8}">
      <text>
        <r>
          <rPr>
            <b/>
            <sz val="9"/>
            <color indexed="81"/>
            <rFont val="Tahoma"/>
            <family val="2"/>
          </rPr>
          <t>Harsh Vijay:</t>
        </r>
        <r>
          <rPr>
            <sz val="9"/>
            <color indexed="81"/>
            <rFont val="Tahoma"/>
            <family val="2"/>
          </rPr>
          <t xml:space="preserve">
Capex elevated: Derabassi expansion, R&amp;D center, EU-GMP upgrades, Nivian integration capex.</t>
        </r>
      </text>
    </comment>
    <comment ref="H36" authorId="0" shapeId="0" xr:uid="{706CBB3E-EFED-4BEA-A402-85138D5266E7}">
      <text>
        <r>
          <rPr>
            <b/>
            <sz val="9"/>
            <color indexed="81"/>
            <rFont val="Tahoma"/>
            <family val="2"/>
          </rPr>
          <t>Harsh Vijay:</t>
        </r>
        <r>
          <rPr>
            <sz val="9"/>
            <color indexed="81"/>
            <rFont val="Tahoma"/>
            <family val="2"/>
          </rPr>
          <t xml:space="preserve">
FY27E: Continued capacity expansion for export volumes.</t>
        </r>
      </text>
    </comment>
    <comment ref="L36" authorId="0" shapeId="0" xr:uid="{C30CE528-701C-4127-A7F7-1531E324267E}">
      <text>
        <r>
          <rPr>
            <b/>
            <sz val="9"/>
            <color indexed="81"/>
            <rFont val="Tahoma"/>
            <family val="2"/>
          </rPr>
          <t>Harsh Vijay:
FY31E Capex: ₹62 Cr (~4.6% of revenue). Maintenance + selective capacity expansion. Major capex cycle (Adley Lab, Derabassi) largely behind.</t>
        </r>
      </text>
    </comment>
    <comment ref="M36" authorId="0" shapeId="0" xr:uid="{251216F2-7191-4B93-93FD-A189C45138F4}">
      <text>
        <r>
          <rPr>
            <b/>
            <sz val="9"/>
            <color indexed="81"/>
            <rFont val="Tahoma"/>
            <family val="2"/>
          </rPr>
          <t>Harsh Vijay:
FY32E Capex: ₹68 Cr (~4.3% of revenue).</t>
        </r>
      </text>
    </comment>
    <comment ref="N36" authorId="0" shapeId="0" xr:uid="{3834112D-213C-4EBC-8D84-A1E69E8A3FDF}">
      <text>
        <r>
          <rPr>
            <b/>
            <sz val="9"/>
            <color indexed="81"/>
            <rFont val="Tahoma"/>
            <family val="2"/>
          </rPr>
          <t>Harsh Vijay:
FY33E Capex: ₹75 Cr (~4.1% of revenue).</t>
        </r>
      </text>
    </comment>
    <comment ref="O36" authorId="0" shapeId="0" xr:uid="{6A6FF96A-D05A-4BE5-9472-3E36611A0091}">
      <text>
        <r>
          <rPr>
            <b/>
            <sz val="9"/>
            <color indexed="81"/>
            <rFont val="Tahoma"/>
            <family val="2"/>
          </rPr>
          <t>Harsh Vijay:
FY34E Capex: ₹82 Cr (~3.9% of revenue).</t>
        </r>
      </text>
    </comment>
    <comment ref="P36" authorId="0" shapeId="0" xr:uid="{D6C031BB-3066-42BC-AFAB-8AFB3C11DA43}">
      <text>
        <r>
          <rPr>
            <b/>
            <sz val="9"/>
            <color indexed="81"/>
            <rFont val="Tahoma"/>
            <family val="2"/>
          </rPr>
          <t>Harsh Vijay:
FY35E Capex: ₹86 Cr (~3.6% of revenue). Terminal capex intensity declining as asset base matures.</t>
        </r>
      </text>
    </comment>
    <comment ref="G38" authorId="0" shapeId="0" xr:uid="{8EFACE77-6CB4-4D51-9200-64E576042F06}">
      <text>
        <r>
          <rPr>
            <b/>
            <sz val="9"/>
            <color indexed="81"/>
            <rFont val="Tahoma"/>
            <family val="2"/>
          </rPr>
          <t>Harsh Vijay:</t>
        </r>
        <r>
          <rPr>
            <sz val="9"/>
            <color indexed="81"/>
            <rFont val="Tahoma"/>
            <family val="2"/>
          </rPr>
          <t xml:space="preserve">
SHARES UPDATED: Base 1.01 Cr + 2,83,668 shares issued to Nivian promoters at ₹1,712.49/share (part of ₹69.4 Cr acquisition). Total now ~1.0384 Cr. Note: Includes both Nivian swap + prior HealthQuad/Tanas allotment.</t>
        </r>
      </text>
    </comment>
    <comment ref="G42" authorId="0" shapeId="0" xr:uid="{4012576A-2FCF-4244-BB03-A1A2A4399685}">
      <text>
        <r>
          <rPr>
            <b/>
            <sz val="9"/>
            <color indexed="81"/>
            <rFont val="Tahoma"/>
            <family val="2"/>
          </rPr>
          <t>FY25 actual Own Brands grew 25.28%. FY26 requires acceleration to ₹175 Cr from ₹125.3 Cr base (₹49.7 Cr incremental). Supported by: (1) NDDS launches inc. Methotrexate Oral, (2) expanded field force, (3) strong brand recall in oncology/gynec (scuttlebutt confirmed), (4) Q3 FY26 consol revenue ₹89.58 Cr with Own Brands as primary growth engine. Risk: Q3 showed flat QoQ revenue — Q4 must deliver ₹110+ Cr for ₹400 Cr full year. India oncology drugs market growing 12.2% CAGR (MarkNtel 2025-30); Beta outperforming via niche specialty positioning.</t>
        </r>
      </text>
    </comment>
    <comment ref="H42" authorId="0" shapeId="0" xr:uid="{DD558DA9-EB79-4A80-B943-B60D509F6DCE}">
      <text>
        <r>
          <rPr>
            <b/>
            <sz val="9"/>
            <color indexed="81"/>
            <rFont val="Tahoma"/>
            <family val="2"/>
          </rPr>
          <t>Harsh Vijay:</t>
        </r>
        <r>
          <rPr>
            <sz val="9"/>
            <color indexed="81"/>
            <rFont val="Tahoma"/>
            <family val="2"/>
          </rPr>
          <t xml:space="preserve">
FY27E Own Brands: ~37% YoY. New NDDS products ramping (Methotrexate Oral ~₹13 Cr). Export approvals (EU-GMP, ANVISA) opening new markets for branded formulations.</t>
        </r>
      </text>
    </comment>
    <comment ref="I42" authorId="0" shapeId="0" xr:uid="{D3CA79E9-1134-4036-95F5-443E536518A6}">
      <text>
        <r>
          <rPr>
            <b/>
            <sz val="9"/>
            <color indexed="81"/>
            <rFont val="Tahoma"/>
            <family val="2"/>
          </rPr>
          <t>Harsh Vijay:</t>
        </r>
        <r>
          <rPr>
            <sz val="9"/>
            <color indexed="81"/>
            <rFont val="Tahoma"/>
            <family val="2"/>
          </rPr>
          <t xml:space="preserve">
FY28E Own Brands: ~29% YoY. Mature brand portfolio + regulated market traction. Growth from deepening penetration in oncology + gynec franchises.</t>
        </r>
      </text>
    </comment>
    <comment ref="J42" authorId="0" shapeId="0" xr:uid="{0988E162-3E3E-410A-B1FE-85DADCD92BAA}">
      <text>
        <r>
          <rPr>
            <b/>
            <sz val="9"/>
            <color indexed="81"/>
            <rFont val="Tahoma"/>
            <family val="2"/>
          </rPr>
          <t>Harsh Vijay:</t>
        </r>
        <r>
          <rPr>
            <sz val="9"/>
            <color indexed="81"/>
            <rFont val="Tahoma"/>
            <family val="2"/>
          </rPr>
          <t xml:space="preserve">
FY29E Own Brands: ~26% YoY. Scale benefits, deeper penetration in oncology + derma. Growth decelerating gradually as base crosses ₹300 Cr.</t>
        </r>
      </text>
    </comment>
    <comment ref="K42" authorId="0" shapeId="0" xr:uid="{426FA649-83BC-4D7B-8409-A25690DC3E97}">
      <text>
        <r>
          <rPr>
            <b/>
            <sz val="9"/>
            <color indexed="81"/>
            <rFont val="Tahoma"/>
            <family val="2"/>
          </rPr>
          <t>Harsh Vijay:</t>
        </r>
        <r>
          <rPr>
            <sz val="9"/>
            <color indexed="81"/>
            <rFont val="Tahoma"/>
            <family val="2"/>
          </rPr>
          <t xml:space="preserve">
FY30E Own Brands: ~21% YoY. Natural deceleration at ₹390 Cr base. Strong franchise value but incremental ₹80 Cr requires broader therapeutic reach.</t>
        </r>
      </text>
    </comment>
    <comment ref="L42" authorId="0" shapeId="0" xr:uid="{8DEBC428-0D95-45E4-972D-9DE0826A7515}">
      <text>
        <r>
          <rPr>
            <b/>
            <sz val="9"/>
            <color indexed="81"/>
            <rFont val="Tahoma"/>
            <family val="2"/>
          </rPr>
          <t>FY31E Own Brands: 18% YoY. Decelerating from 20.5% (FY30E) as ₹470 Cr base requires ₹85 Cr incremental. NDDS portfolio maturing (Methotrexate Oral + new launches). Brand franchise in oncology/gynec well-established. Domestic branded pharma industry growing ~10-12%, Beta outperforming via niche positioning.</t>
        </r>
      </text>
    </comment>
    <comment ref="M42" authorId="0" shapeId="0" xr:uid="{778882B9-EBBC-4870-9E0F-843689B51435}">
      <text>
        <r>
          <rPr>
            <b/>
            <sz val="9"/>
            <color indexed="81"/>
            <rFont val="Tahoma"/>
            <family val="2"/>
          </rPr>
          <t>FY32E Own Brands: 16% YoY. Base effect — ₹555 Cr base requires ~₹89 Cr incremental. New launches in NDDS pipeline + geographic expansion within India. Oncology branded market growing 14-15% CAGR. Growth shifting from acquisition to penetration.</t>
        </r>
      </text>
    </comment>
    <comment ref="N42" authorId="0" shapeId="0" xr:uid="{0EA28DBA-F1D0-442D-99E4-E0B391E489DD}">
      <text>
        <r>
          <rPr>
            <b/>
            <sz val="9"/>
            <color indexed="81"/>
            <rFont val="Tahoma"/>
            <family val="2"/>
          </rPr>
          <t>FY33E Own Brands: 14% YoY. Mature brand portfolio with strong recall. Growth now tracks closer to industry + 2-3% premium from specialty niche positioning.</t>
        </r>
      </text>
    </comment>
    <comment ref="O42" authorId="0" shapeId="0" xr:uid="{131E0FF0-55ED-4705-A14E-144E6B107A6E}">
      <text>
        <r>
          <rPr>
            <b/>
            <sz val="9"/>
            <color indexed="81"/>
            <rFont val="Tahoma"/>
            <family val="2"/>
          </rPr>
          <t>FY34E Own Brands: 13% YoY. Steady state — large franchise with predictable recurring prescriptions. New therapy area extensions possible (immunology, biosimilars) but not modeled.</t>
        </r>
      </text>
    </comment>
    <comment ref="P42" authorId="0" shapeId="0" xr:uid="{EE959C87-4B03-4F45-B7DF-49125667CC4E}">
      <text>
        <r>
          <rPr>
            <b/>
            <sz val="9"/>
            <color indexed="81"/>
            <rFont val="Tahoma"/>
            <family val="2"/>
          </rPr>
          <t>FY35E Own Brands: 12% YoY. Terminal-adjacent growth. Conservative — reflects industry-level growth (~10-12%) + modest specialty premium.</t>
        </r>
      </text>
    </comment>
    <comment ref="G43" authorId="0" shapeId="0" xr:uid="{0F2C6B98-052B-4F71-A01F-7604ACE5B60B}">
      <text>
        <r>
          <rPr>
            <b/>
            <sz val="9"/>
            <color indexed="81"/>
            <rFont val="Tahoma"/>
            <family val="2"/>
          </rPr>
          <t>Harsh Vijay:</t>
        </r>
        <r>
          <rPr>
            <sz val="9"/>
            <color indexed="81"/>
            <rFont val="Tahoma"/>
            <family val="2"/>
          </rPr>
          <t xml:space="preserve">
FY26E CDMO: -41% YoY. Platin products (~₹46.5 Cr in FY25) exiting. Strategic decision to drop low-margin contract work. Q3 FY26 already shows impact. Residual CDMO from non-Platin clients only.</t>
        </r>
      </text>
    </comment>
    <comment ref="H43" authorId="0" shapeId="0" xr:uid="{2ADE0890-1398-4242-8A65-EF6CFD2D9DBF}">
      <text>
        <r>
          <rPr>
            <b/>
            <sz val="9"/>
            <color indexed="81"/>
            <rFont val="Tahoma"/>
            <family val="2"/>
          </rPr>
          <t>FY27E CDMO: REVISED DOWN from 15% to 8%. Management explicitly guided CDMO at 5-10% annual growth (Q4 FY25 Concall, May 2025). 15% was above the top of guidance range. Post-Platin restructuring complete, company strategy is 'own brands first' — CDMO deliberately de-prioritized. 30 CDMO clients on books but capacity allocated primarily to own brands and exports. Conservative 8% reflects mid-range of 5-10% mgmt guidance. Source: Q4 FY25 Concall transcript.</t>
        </r>
      </text>
    </comment>
    <comment ref="I43" authorId="0" shapeId="0" xr:uid="{23524C7C-C538-47F1-A0A4-2EC4CA1DE85C}">
      <text>
        <r>
          <rPr>
            <b/>
            <sz val="9"/>
            <color indexed="81"/>
            <rFont val="Tahoma"/>
            <family val="2"/>
          </rPr>
          <t>FY28E CDMO: REVISED DOWN from 13% to 8%. Consistent with mgmt guidance of 5-10% CDMO growth. CDMO share of revenue declining structurally from 30% (FY25) to &lt;9%. Company prioritizing own brands and exports. Source: Q4 FY25 Concall.</t>
        </r>
      </text>
    </comment>
    <comment ref="J43" authorId="0" shapeId="0" xr:uid="{D4BE5704-4339-4057-A32A-E991D3FB8B28}">
      <text>
        <r>
          <rPr>
            <b/>
            <sz val="9"/>
            <color indexed="81"/>
            <rFont val="Tahoma"/>
            <family val="2"/>
          </rPr>
          <t>FY29E CDMO: REVISED DOWN from 12% to 8%. Keeping consistent with 5-10% mgmt guidance band. Selective high-margin contracts only; not a growth driver.</t>
        </r>
      </text>
    </comment>
    <comment ref="K43" authorId="0" shapeId="0" xr:uid="{D28588E6-59C3-4C2F-9FF7-C213FDCEB6EF}">
      <text>
        <r>
          <rPr>
            <b/>
            <sz val="9"/>
            <color indexed="81"/>
            <rFont val="Tahoma"/>
            <family val="2"/>
          </rPr>
          <t>Harsh Vijay:</t>
        </r>
        <r>
          <rPr>
            <sz val="9"/>
            <color indexed="81"/>
            <rFont val="Tahoma"/>
            <family val="2"/>
          </rPr>
          <t xml:space="preserve">
FY30E CDMO: ~11% YoY. Maintained at ~9% of revenue; de-emphasized segment.</t>
        </r>
      </text>
    </comment>
    <comment ref="L43" authorId="0" shapeId="0" xr:uid="{CFECD7A4-8BE1-4AF0-8376-982D72259D81}">
      <text>
        <r>
          <rPr>
            <b/>
            <sz val="9"/>
            <color indexed="81"/>
            <rFont val="Tahoma"/>
            <family val="2"/>
          </rPr>
          <t>FY31E CDMO: 10% YoY. Post-Platin restructuring complete. Only selective high-margin contracts retained. CDMO share of revenue declining structurally from 30% (FY25) to &lt;9%. Company strategy is 'own brands first'.</t>
        </r>
      </text>
    </comment>
    <comment ref="M43" authorId="0" shapeId="0" xr:uid="{8F639047-468C-4D5D-8164-B3A00CCE81BC}">
      <text>
        <r>
          <rPr>
            <b/>
            <sz val="9"/>
            <color indexed="81"/>
            <rFont val="Tahoma"/>
            <family val="2"/>
          </rPr>
          <t>FY32E CDMO: 8% YoY. Stable but small segment. No new large CDMO clients expected — capacity prioritized for own brands and exports.</t>
        </r>
      </text>
    </comment>
    <comment ref="N43" authorId="0" shapeId="0" xr:uid="{BBBC3864-4FC2-425F-884D-50B66C5A0B99}">
      <text>
        <r>
          <rPr>
            <b/>
            <sz val="9"/>
            <color indexed="81"/>
            <rFont val="Tahoma"/>
            <family val="2"/>
          </rPr>
          <t>FY33E CDMO: 8% YoY. Maintenance-level growth from existing client relationships.</t>
        </r>
      </text>
    </comment>
    <comment ref="O43" authorId="0" shapeId="0" xr:uid="{128948BB-B1BF-4ADC-8DFA-A169EB3FEF1B}">
      <text>
        <r>
          <rPr>
            <b/>
            <sz val="9"/>
            <color indexed="81"/>
            <rFont val="Tahoma"/>
            <family val="2"/>
          </rPr>
          <t>FY34E CDMO: 7% YoY. De-prioritized segment; minimal strategic investment. Declining share of business.</t>
        </r>
      </text>
    </comment>
    <comment ref="P43" authorId="0" shapeId="0" xr:uid="{19173882-64D8-4F13-A390-DED53781BD59}">
      <text>
        <r>
          <rPr>
            <b/>
            <sz val="9"/>
            <color indexed="81"/>
            <rFont val="Tahoma"/>
            <family val="2"/>
          </rPr>
          <t>FY35E CDMO: 7% YoY. Terminal state — small, stable contributor at ~6% of revenue.</t>
        </r>
      </text>
    </comment>
    <comment ref="G44" authorId="0" shapeId="0" xr:uid="{32FD583C-DFC0-4AF3-B4AF-C3A8B946DAA6}">
      <text>
        <r>
          <rPr>
            <b/>
            <sz val="9"/>
            <color indexed="81"/>
            <rFont val="Tahoma"/>
            <family val="2"/>
          </rPr>
          <t>Export tender delays confirmed impacting FY26. EU-GMP filing for Derabassi/Adley still pending. ANVISA and COFEPRIS registrations ongoing but not yet revenue-generating. Q3 FY26 consolidated revenue of ₹89.58 Cr suggests exports haven't inflected yet. Mgmt guided 'triple exports in 2-3 years' from ₹80 Cr FY25 base - but FY26 is the transition year. Nuvama FY26E export estimate of ₹140 Cr appears too aggressive vs our ₹85 Cr; we stay conservative pending actual Q4 data. Key risk: Q4 export spike from delayed tenders could push this higher.</t>
        </r>
      </text>
    </comment>
    <comment ref="H44" authorId="0" shapeId="0" xr:uid="{832A27D5-CFB9-4770-9B9B-52333E193EB0}">
      <text>
        <r>
          <rPr>
            <b/>
            <sz val="9"/>
            <color indexed="81"/>
            <rFont val="Tahoma"/>
            <family val="2"/>
          </rPr>
          <t>FY27E Exports: ~65% YoY RETAINED. Mgmt guided 'triple export sales in 2-3 years' from ₹80 Cr FY25 base = ₹240 Cr by FY27-FY28 (Q4 FY25 Concall). Our ₹140 Cr FY27E is on track for this trajectory. Regulatory approvals expected: EU-GMP filing for Derabassi/Adley, ANVISA clearance, COFEPRIS/INVIMA registrations for LatAm. India pharma exports crossed USD 30B in FY25 (+9.4% YoY), with NAFTA/LatAm as fastest-growing regions. Nuvama estimated FY27E exports at ₹178 Cr (more aggressive than our ₹140 Cr). Historical export CAGR was 64% (FY20-FY25). Source: Q4 FY25 Concall, Nuvama H1FY25 report, Pharmaexil FY25 data.</t>
        </r>
      </text>
    </comment>
    <comment ref="I44" authorId="0" shapeId="0" xr:uid="{91C80941-7D77-4798-92FE-A81BD9DC6DA7}">
      <text>
        <r>
          <rPr>
            <b/>
            <sz val="9"/>
            <color indexed="81"/>
            <rFont val="Tahoma"/>
            <family val="2"/>
          </rPr>
          <t>Harsh Vijay:</t>
        </r>
        <r>
          <rPr>
            <sz val="9"/>
            <color indexed="81"/>
            <rFont val="Tahoma"/>
            <family val="2"/>
          </rPr>
          <t xml:space="preserve">
FY28E Exports: 50% YoY. EU-GMP filing progressing, ANVISA clearance expected — exports accelerate rapidly. Regulated market entry is the key long-term thesis.</t>
        </r>
      </text>
    </comment>
    <comment ref="J44" authorId="0" shapeId="0" xr:uid="{B56537A3-9104-45D0-9D5D-6F9B955F253C}">
      <text>
        <r>
          <rPr>
            <b/>
            <sz val="9"/>
            <color indexed="81"/>
            <rFont val="Tahoma"/>
            <family val="2"/>
          </rPr>
          <t>Harsh Vijay:</t>
        </r>
        <r>
          <rPr>
            <sz val="9"/>
            <color indexed="81"/>
            <rFont val="Tahoma"/>
            <family val="2"/>
          </rPr>
          <t xml:space="preserve">
FY29E Exports: ~43% YoY. Full export ramp; LatAm + Europe + Africa. Export CAGR was 64% (FY20-FY25); we assume 25-35% going forward as base scales.</t>
        </r>
      </text>
    </comment>
    <comment ref="K44" authorId="0" shapeId="0" xr:uid="{2A1C439C-53C6-45D9-B85B-CACD72314F1A}">
      <text>
        <r>
          <rPr>
            <b/>
            <sz val="9"/>
            <color indexed="81"/>
            <rFont val="Tahoma"/>
            <family val="2"/>
          </rPr>
          <t>Harsh Vijay:</t>
        </r>
        <r>
          <rPr>
            <sz val="9"/>
            <color indexed="81"/>
            <rFont val="Tahoma"/>
            <family val="2"/>
          </rPr>
          <t xml:space="preserve">
FY30E Exports: 30% YoY. Exports become ~34% of revenue; diversified geography reduces concentration risk.</t>
        </r>
      </text>
    </comment>
    <comment ref="L44" authorId="0" shapeId="0" xr:uid="{F89E5628-9F9D-428A-9839-C9CEC5851808}">
      <text>
        <r>
          <rPr>
            <b/>
            <sz val="9"/>
            <color indexed="81"/>
            <rFont val="Tahoma"/>
            <family val="2"/>
          </rPr>
          <t>FY31E Exports: 25% YoY. EU-GMP and ANVISA approvals now fully operational. Regulated markets (Europe, LatAm, Africa) driving volume. Historical export CAGR 64% (FY20-25); moderating but still fastest-growing vertical. COFEPRIS/PICS registrations adding new geographies.</t>
        </r>
      </text>
    </comment>
    <comment ref="M44" authorId="0" shapeId="0" xr:uid="{8418F8CA-ECEF-4076-8558-D3F1230F5AE8}">
      <text>
        <r>
          <rPr>
            <b/>
            <sz val="9"/>
            <color indexed="81"/>
            <rFont val="Tahoma"/>
            <family val="2"/>
          </rPr>
          <t>FY32E Exports: 22% YoY. Multiple regulated markets contributing. LatAm + Africa providing new demand pools. Base approaching ₹500 Cr — incremental ~₹107 Cr achievable with geographic diversity.</t>
        </r>
      </text>
    </comment>
    <comment ref="N44" authorId="0" shapeId="0" xr:uid="{8C5A7892-28EB-486C-A8AA-0A61A2B3FE66}">
      <text>
        <r>
          <rPr>
            <b/>
            <sz val="9"/>
            <color indexed="81"/>
            <rFont val="Tahoma"/>
            <family val="2"/>
          </rPr>
          <t>FY33E Exports: 20% YoY. Exports now ~38% of revenue — diversification thesis playing out. Oncology generics demand strong globally in EU/LatAm.</t>
        </r>
      </text>
    </comment>
    <comment ref="O44" authorId="0" shapeId="0" xr:uid="{F06CE5AE-1C05-4A43-B985-070114488CD2}">
      <text>
        <r>
          <rPr>
            <b/>
            <sz val="9"/>
            <color indexed="81"/>
            <rFont val="Tahoma"/>
            <family val="2"/>
          </rPr>
          <t>FY34E Exports: 18% YoY. Growth moderating as base scales past ₹700 Cr. Regulatory moat (EU-GMP approved oncology APIs) provides sustainable competitive advantage.</t>
        </r>
      </text>
    </comment>
    <comment ref="P44" authorId="0" shapeId="0" xr:uid="{A19FFC3D-DE25-447B-A39A-DF42AC8BE821}">
      <text>
        <r>
          <rPr>
            <b/>
            <sz val="9"/>
            <color indexed="81"/>
            <rFont val="Tahoma"/>
            <family val="2"/>
          </rPr>
          <t>FY35E Exports: 16% YoY. Terminal-adjacent. Export business approaching ₹1,000 Cr — nearly as large as total FY30E company revenue. Mature regulated market position.</t>
        </r>
      </text>
    </comment>
    <comment ref="G45" authorId="0" shapeId="0" xr:uid="{A3857EA1-7F15-45AE-A51B-13AE81FFF9AC}">
      <text>
        <r>
          <rPr>
            <b/>
            <sz val="9"/>
            <color indexed="81"/>
            <rFont val="Tahoma"/>
            <family val="2"/>
          </rPr>
          <t>Harsh Vijay:</t>
        </r>
        <r>
          <rPr>
            <sz val="9"/>
            <color indexed="81"/>
            <rFont val="Tahoma"/>
            <family val="2"/>
          </rPr>
          <t xml:space="preserve">
FY26E API: -57% YoY. API sales down sharply due to internal consumption for backward integration. Adley Lab producing 34 oncology APIs in-house - reduces external API sales but improves COGS.</t>
        </r>
      </text>
    </comment>
    <comment ref="H45" authorId="0" shapeId="0" xr:uid="{9D8F02EC-A169-425D-A6F8-E84816A7809D}">
      <text>
        <r>
          <rPr>
            <b/>
            <sz val="9"/>
            <color indexed="81"/>
            <rFont val="Tahoma"/>
            <family val="2"/>
          </rPr>
          <t>Harsh Vijay:</t>
        </r>
        <r>
          <rPr>
            <sz val="9"/>
            <color indexed="81"/>
            <rFont val="Tahoma"/>
            <family val="2"/>
          </rPr>
          <t xml:space="preserve">
FY27E API: ~33% YoY. Recovery from depressed FY26 base. Some external sales resume as Adley production scales beyond internal needs.</t>
        </r>
      </text>
    </comment>
    <comment ref="I45" authorId="0" shapeId="0" xr:uid="{4312CAA1-3E14-4DFD-A0B1-1DD4F594C697}">
      <text>
        <r>
          <rPr>
            <b/>
            <sz val="9"/>
            <color indexed="81"/>
            <rFont val="Tahoma"/>
            <family val="2"/>
          </rPr>
          <t>Harsh Vijay:</t>
        </r>
        <r>
          <rPr>
            <sz val="9"/>
            <color indexed="81"/>
            <rFont val="Tahoma"/>
            <family val="2"/>
          </rPr>
          <t xml:space="preserve">
FY28E API: 25% YoY. Steady recovery. Internal API consumption growing but external niche buyers also increasing.</t>
        </r>
      </text>
    </comment>
    <comment ref="J45" authorId="0" shapeId="0" xr:uid="{F94EBB7C-EF6D-45D3-87D6-87B64876D134}">
      <text>
        <r>
          <rPr>
            <b/>
            <sz val="9"/>
            <color indexed="81"/>
            <rFont val="Tahoma"/>
            <family val="2"/>
          </rPr>
          <t>Harsh Vijay:</t>
        </r>
        <r>
          <rPr>
            <sz val="9"/>
            <color indexed="81"/>
            <rFont val="Tahoma"/>
            <family val="2"/>
          </rPr>
          <t xml:space="preserve">
FY29E API: 20% YoY. Moderate growth; external API sales remain a small segment.</t>
        </r>
      </text>
    </comment>
    <comment ref="K45" authorId="0" shapeId="0" xr:uid="{C7F4D0CB-4E79-4C3D-93B9-DD16FB2F94B7}">
      <text>
        <r>
          <rPr>
            <b/>
            <sz val="9"/>
            <color indexed="81"/>
            <rFont val="Tahoma"/>
            <family val="2"/>
          </rPr>
          <t>Harsh Vijay:</t>
        </r>
        <r>
          <rPr>
            <sz val="9"/>
            <color indexed="81"/>
            <rFont val="Tahoma"/>
            <family val="2"/>
          </rPr>
          <t xml:space="preserve">
FY30E API: ~17% YoY. Growth tapering; strategic value is in COGS reduction via backward integration, not external revenue.</t>
        </r>
      </text>
    </comment>
    <comment ref="L45" authorId="0" shapeId="0" xr:uid="{D1D33B2F-32F5-40FC-882C-62CDB3E8ECB1}">
      <text>
        <r>
          <rPr>
            <b/>
            <sz val="9"/>
            <color indexed="81"/>
            <rFont val="Tahoma"/>
            <family val="2"/>
          </rPr>
          <t>FY31E API: 14% YoY. External API sales remain small — backward integration (34 oncology APIs at Adley Lab, Derabassi) prioritizes internal consumption. Niche external buyers.</t>
        </r>
      </text>
    </comment>
    <comment ref="M45" authorId="0" shapeId="0" xr:uid="{2D4FD4A6-1A1C-4FF6-8CF4-21D89828C69E}">
      <text>
        <r>
          <rPr>
            <b/>
            <sz val="9"/>
            <color indexed="81"/>
            <rFont val="Tahoma"/>
            <family val="2"/>
          </rPr>
          <t>FY32E API: 13% YoY. Stable niche. Internal consumption growing faster than external sales.</t>
        </r>
      </text>
    </comment>
    <comment ref="N45" authorId="0" shapeId="0" xr:uid="{94744B0B-456E-4866-801B-026DF9E20FD6}">
      <text>
        <r>
          <rPr>
            <b/>
            <sz val="9"/>
            <color indexed="81"/>
            <rFont val="Tahoma"/>
            <family val="2"/>
          </rPr>
          <t>FY33E API: 12% YoY. Declining revenue share (~2.7%). Not a strategic growth driver.</t>
        </r>
      </text>
    </comment>
    <comment ref="O45" authorId="0" shapeId="0" xr:uid="{E574BBB1-5290-4D10-87BB-1739D9938B58}">
      <text>
        <r>
          <rPr>
            <b/>
            <sz val="9"/>
            <color indexed="81"/>
            <rFont val="Tahoma"/>
            <family val="2"/>
          </rPr>
          <t>FY34E API: 10% YoY. Strategic value is in COGS reduction via backward integration, not revenue generation.</t>
        </r>
      </text>
    </comment>
    <comment ref="P45" authorId="0" shapeId="0" xr:uid="{9436C7D6-6325-4E6B-B8B6-6BF6082B58FA}">
      <text>
        <r>
          <rPr>
            <b/>
            <sz val="9"/>
            <color indexed="81"/>
            <rFont val="Tahoma"/>
            <family val="2"/>
          </rPr>
          <t>FY35E API: 10% YoY. Terminal state — ~2.5% of revenue. Minimal external relevance.</t>
        </r>
      </text>
    </comment>
    <comment ref="G46" authorId="0" shapeId="0" xr:uid="{15294FB1-50EF-40D2-BB9B-CBA712520EB3}">
      <text>
        <r>
          <rPr>
            <b/>
            <sz val="9"/>
            <color indexed="81"/>
            <rFont val="Tahoma"/>
            <family val="2"/>
          </rPr>
          <t>Harsh Vijay:</t>
        </r>
        <r>
          <rPr>
            <sz val="9"/>
            <color indexed="81"/>
            <rFont val="Tahoma"/>
            <family val="2"/>
          </rPr>
          <t xml:space="preserve">
FY26E Derma: ~13% YoY. Inspira Derma turned profitable in Nov 2025 — no longer a margin drag. Growing steadily as prescription base expands.</t>
        </r>
      </text>
    </comment>
    <comment ref="H46" authorId="0" shapeId="0" xr:uid="{1FDE7905-E982-4D75-9862-66556B2C038C}">
      <text>
        <r>
          <rPr>
            <b/>
            <sz val="9"/>
            <color indexed="81"/>
            <rFont val="Tahoma"/>
            <family val="2"/>
          </rPr>
          <t>Harsh Vijay:</t>
        </r>
        <r>
          <rPr>
            <sz val="9"/>
            <color indexed="81"/>
            <rFont val="Tahoma"/>
            <family val="2"/>
          </rPr>
          <t xml:space="preserve">
FY27E Derma: ~29% YoY. Inspira Derma already profitable; now scaling with operating leverage. Derma prescription base expanding.</t>
        </r>
      </text>
    </comment>
    <comment ref="I46" authorId="0" shapeId="0" xr:uid="{4515153F-4CB6-4DF8-9C50-E58B3402B3EE}">
      <text>
        <r>
          <rPr>
            <b/>
            <sz val="9"/>
            <color indexed="81"/>
            <rFont val="Tahoma"/>
            <family val="2"/>
          </rPr>
          <t>Harsh Vijay:</t>
        </r>
        <r>
          <rPr>
            <sz val="9"/>
            <color indexed="81"/>
            <rFont val="Tahoma"/>
            <family val="2"/>
          </rPr>
          <t xml:space="preserve">
FY28E Derma: ~27% YoY. Continued strong growth from expanding prescription base and cross-selling synergies with gynec network.</t>
        </r>
      </text>
    </comment>
    <comment ref="J46" authorId="0" shapeId="0" xr:uid="{D1028880-4E5B-430F-AB32-6A61ECC274B4}">
      <text>
        <r>
          <rPr>
            <b/>
            <sz val="9"/>
            <color indexed="81"/>
            <rFont val="Tahoma"/>
            <family val="2"/>
          </rPr>
          <t>Harsh Vijay:</t>
        </r>
        <r>
          <rPr>
            <sz val="9"/>
            <color indexed="81"/>
            <rFont val="Tahoma"/>
            <family val="2"/>
          </rPr>
          <t xml:space="preserve">
FY29E Derma: 25% YoY. Indian derma market growing ~15% CAGR; Beta outperforming via specialty niche positioning.</t>
        </r>
      </text>
    </comment>
    <comment ref="K46" authorId="0" shapeId="0" xr:uid="{D9C5DA1C-E560-41F8-8E28-3AB1808A4E73}">
      <text>
        <r>
          <rPr>
            <b/>
            <sz val="9"/>
            <color indexed="81"/>
            <rFont val="Tahoma"/>
            <family val="2"/>
          </rPr>
          <t>Harsh Vijay:</t>
        </r>
        <r>
          <rPr>
            <sz val="9"/>
            <color indexed="81"/>
            <rFont val="Tahoma"/>
            <family val="2"/>
          </rPr>
          <t xml:space="preserve">
FY30E Derma: 20% YoY. Growth moderating as Inspira Derma matures. Steady niche contributor.</t>
        </r>
      </text>
    </comment>
    <comment ref="L46" authorId="0" shapeId="0" xr:uid="{541A798A-8F86-4638-9715-4DFB38B2FD02}">
      <text>
        <r>
          <rPr>
            <b/>
            <sz val="9"/>
            <color indexed="81"/>
            <rFont val="Tahoma"/>
            <family val="2"/>
          </rPr>
          <t>FY31E Derma: 19% YoY. Inspira Derma profitable since Nov 2025, now scaling with operating leverage. Prescription base expanding. Indian derma market growing ~15% CAGR. Cross-selling with gynec network adds volume.</t>
        </r>
      </text>
    </comment>
    <comment ref="M46" authorId="0" shapeId="0" xr:uid="{92B6E84C-104A-491F-9E23-B23186C263DF}">
      <text>
        <r>
          <rPr>
            <b/>
            <sz val="9"/>
            <color indexed="81"/>
            <rFont val="Tahoma"/>
            <family val="2"/>
          </rPr>
          <t>FY32E Derma: 17% YoY. Steady expansion of derma prescription franchise. Cross-selling with gynec network adds incremental volume.</t>
        </r>
      </text>
    </comment>
    <comment ref="N46" authorId="0" shapeId="0" xr:uid="{42A67C76-426A-474C-97C7-98B0B1BBB985}">
      <text>
        <r>
          <rPr>
            <b/>
            <sz val="9"/>
            <color indexed="81"/>
            <rFont val="Tahoma"/>
            <family val="2"/>
          </rPr>
          <t>FY33E Derma: 15% YoY. Mature but niche — Inspira Derma established in market. Growth from deeper penetration rather than new launches.</t>
        </r>
      </text>
    </comment>
    <comment ref="O46" authorId="0" shapeId="0" xr:uid="{DBC34C1E-75A8-4372-AAA9-B8B109BEF515}">
      <text>
        <r>
          <rPr>
            <b/>
            <sz val="9"/>
            <color indexed="81"/>
            <rFont val="Tahoma"/>
            <family val="2"/>
          </rPr>
          <t>FY34E Derma: 14% YoY. Approaching steady-state growth as brand matures.</t>
        </r>
      </text>
    </comment>
    <comment ref="P46" authorId="0" shapeId="0" xr:uid="{7642805A-8EB8-4440-8247-0488D3787117}">
      <text>
        <r>
          <rPr>
            <b/>
            <sz val="9"/>
            <color indexed="81"/>
            <rFont val="Tahoma"/>
            <family val="2"/>
          </rPr>
          <t>FY35E Derma: 12% YoY. Terminal state — small but profitable niche at ~3.5% of revenue.</t>
        </r>
      </text>
    </comment>
    <comment ref="G47" authorId="0" shapeId="0" xr:uid="{3A9808FD-2160-49F3-9D83-211AF04E056C}">
      <text>
        <r>
          <rPr>
            <b/>
            <sz val="9"/>
            <color indexed="81"/>
            <rFont val="Tahoma"/>
            <family val="2"/>
          </rPr>
          <t>FY26E IVF/Nivian: NEW SEGMENT. 66.09% stake acquired for ₹69.4 Cr (₹48.58 Cr via 2,83,668 shares at ₹1,712.49 + ₹20.82 Cr cash). 9M FY26 actual: ₹30.3 Cr revenue; full FY26E projected ₹43 Cr (Trade Brains, Jan 2026). Nivian founded 2019 by Nilesh Auti (10+ yrs IVF experience from Bharat Serums). India IVF market: USD 1.06B (2023), 7.8% CAGR to 2030 (Grand View Research); some estimates up to 16.2% CAGR (CMI). IVF clinics expanding into Tier 2/3 cities. India's declining TFR (NFHS-5: 2.0 nationally) and rising infertility awareness are structural tailwinds. Scuttlebutt: Gynec colleagues already using Nivian products. Official ISAR conference sponsor. Source: Trade Brains (Jan 12, 2026), Grand View Research, NFHS-5.</t>
        </r>
      </text>
    </comment>
    <comment ref="H47" authorId="0" shapeId="0" xr:uid="{45FEC9A7-FA37-4E5C-9E4C-B6808C482B4F}">
      <text>
        <r>
          <rPr>
            <b/>
            <sz val="9"/>
            <color indexed="81"/>
            <rFont val="Tahoma"/>
            <family val="2"/>
          </rPr>
          <t>Harsh Vijay:</t>
        </r>
        <r>
          <rPr>
            <sz val="9"/>
            <color indexed="81"/>
            <rFont val="Tahoma"/>
            <family val="2"/>
          </rPr>
          <t xml:space="preserve">
FY27E IVF/Nivian: ~12% YoY. Conservative as integration plays out in first full year. Cross-selling with Beta's gynec network beginning. ISAR sponsorship builds KOL relationships.</t>
        </r>
      </text>
    </comment>
    <comment ref="I47" authorId="0" shapeId="0" xr:uid="{DE6D363C-6DB0-4CEB-8654-DDAA38F1E354}">
      <text>
        <r>
          <rPr>
            <b/>
            <sz val="9"/>
            <color indexed="81"/>
            <rFont val="Tahoma"/>
            <family val="2"/>
          </rPr>
          <t>Harsh Vijay:</t>
        </r>
        <r>
          <rPr>
            <sz val="9"/>
            <color indexed="81"/>
            <rFont val="Tahoma"/>
            <family val="2"/>
          </rPr>
          <t xml:space="preserve">
FY28E IVF/Nivian: ~29% YoY. Cross-selling synergies materializing. Beta's field force actively selling Nivian products to existing gynec base. Acceleration from low FY27 base.</t>
        </r>
      </text>
    </comment>
    <comment ref="J47" authorId="0" shapeId="0" xr:uid="{5FE9B00A-9FBC-4F5F-A295-6E7022F6E6E2}">
      <text>
        <r>
          <rPr>
            <b/>
            <sz val="9"/>
            <color indexed="81"/>
            <rFont val="Tahoma"/>
            <family val="2"/>
          </rPr>
          <t>Harsh Vijay:</t>
        </r>
        <r>
          <rPr>
            <sz val="9"/>
            <color indexed="81"/>
            <rFont val="Tahoma"/>
            <family val="2"/>
          </rPr>
          <t xml:space="preserve">
FY29E IVF/Nivian: ~13% YoY. Normalizing after FY28 spike. Steady growth; IVF market growing 7.8% CAGR. Nivian benefits from Beta's distribution and regulatory expertise.</t>
        </r>
      </text>
    </comment>
    <comment ref="K47" authorId="0" shapeId="0" xr:uid="{6A1A217E-1E37-4483-9634-C4D867B1A02B}">
      <text>
        <r>
          <rPr>
            <b/>
            <sz val="9"/>
            <color indexed="81"/>
            <rFont val="Tahoma"/>
            <family val="2"/>
          </rPr>
          <t>FY30E IVF/Nivian: REVISED DOWN from 40% to 20%. Previous 40% growth was an unsupported spike — no specific catalyst justifies jumping from 13% (FY29E) to 40%. India IVF market CAGR is 7.8-16.2% depending on source (Grand View Research: 7.8%; CMI: 16.2%; Allied MR: 16.45%). Nivian as a branded formulations player should outperform market at ~20% — consistent with prior FY28E trajectory. Cross-selling synergies with Beta's gynec field force already priced into FY28E ramp. Source: Grand View Research IVF market report 2024, CMI India IVF report 2025.</t>
        </r>
      </text>
    </comment>
    <comment ref="L47" authorId="0" shapeId="0" xr:uid="{0C78FE68-E5BF-4165-BF89-106D82FE99C4}">
      <text>
        <r>
          <rPr>
            <b/>
            <sz val="9"/>
            <color indexed="81"/>
            <rFont val="Tahoma"/>
            <family val="2"/>
          </rPr>
          <t>FY31E IVF/Nivian: 25% YoY. India IVF market structural growth theme (7.8% market CAGR to 2030+). Full integration with Beta's gynec field force realized. Cross-selling synergies driving adoption. ISAR sponsorship + KOL relationships established. Infertility awareness rising in India.</t>
        </r>
      </text>
    </comment>
    <comment ref="M47" authorId="0" shapeId="0" xr:uid="{87B3B564-9AC4-49C0-B6DC-1C87A78D9E35}">
      <text>
        <r>
          <rPr>
            <b/>
            <sz val="9"/>
            <color indexed="81"/>
            <rFont val="Tahoma"/>
            <family val="2"/>
          </rPr>
          <t>FY32E IVF/Nivian: 22% YoY. Market expansion + brand deepening. Nivian established as premium IVF brand. Beta's distribution network = low-cost customer acquisition.</t>
        </r>
      </text>
    </comment>
    <comment ref="N47" authorId="0" shapeId="0" xr:uid="{93D05583-6123-40FB-8BA9-3752C936C456}">
      <text>
        <r>
          <rPr>
            <b/>
            <sz val="9"/>
            <color indexed="81"/>
            <rFont val="Tahoma"/>
            <family val="2"/>
          </rPr>
          <t>FY33E IVF/Nivian: 20% YoY. Structural tailwinds intact. Approaching ₹180 Cr — meaningful contributor at ~9.5% of revenue. New product extensions within fertility possible.</t>
        </r>
      </text>
    </comment>
    <comment ref="O47" authorId="0" shapeId="0" xr:uid="{F66BD273-B759-4669-83A5-32CEF77EF850}">
      <text>
        <r>
          <rPr>
            <b/>
            <sz val="9"/>
            <color indexed="81"/>
            <rFont val="Tahoma"/>
            <family val="2"/>
          </rPr>
          <t>FY34E IVF/Nivian: 18% YoY. Steady state for structural theme. IVF awareness + clinic proliferation continue driving demand.</t>
        </r>
      </text>
    </comment>
    <comment ref="P47" authorId="0" shapeId="0" xr:uid="{AB74BA86-CD66-4165-9612-842C0C71D4BE}">
      <text>
        <r>
          <rPr>
            <b/>
            <sz val="9"/>
            <color indexed="81"/>
            <rFont val="Tahoma"/>
            <family val="2"/>
          </rPr>
          <t>FY35E IVF/Nivian: 16% YoY. Terminal state — meaningful ₹245 Cr business at ~10% of revenue. India's demographic shift supports continued growth beyond model horizon.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Harsh Vijay</author>
  </authors>
  <commentList>
    <comment ref="H6" authorId="0" shapeId="0" xr:uid="{EA97F62A-51FA-4296-A54C-1BC033B1DAED}">
      <text>
        <r>
          <rPr>
            <b/>
            <sz val="9"/>
            <color indexed="81"/>
            <rFont val="Tahoma"/>
            <family val="2"/>
          </rPr>
          <t>Harsh Vijay:</t>
        </r>
        <r>
          <rPr>
            <sz val="9"/>
            <color indexed="81"/>
            <rFont val="Tahoma"/>
            <family val="2"/>
          </rPr>
          <t xml:space="preserve">
Nivian deal: +2,83,668 shares at ₹10 face value = ₹0.28 Cr additional share capital. Total: 10.1 + 0.28 = 10.38 Cr</t>
        </r>
      </text>
    </comment>
    <comment ref="H7" authorId="0" shapeId="0" xr:uid="{D28421CC-531F-4CF0-9457-D150E744121D}">
      <text>
        <r>
          <rPr>
            <b/>
            <sz val="9"/>
            <color indexed="81"/>
            <rFont val="Tahoma"/>
            <family val="2"/>
          </rPr>
          <t>Harsh Vijay:</t>
        </r>
        <r>
          <rPr>
            <sz val="9"/>
            <color indexed="81"/>
            <rFont val="Tahoma"/>
            <family val="2"/>
          </rPr>
          <t xml:space="preserve">
Nivian share swap premium: 2,83,668 shares at ₹1,712.49/share = ₹48.58 Cr total. Less ₹0.28 Cr face value = ₹48.3 Cr securities premium added to reserves.</t>
        </r>
      </text>
    </comment>
    <comment ref="H25" authorId="0" shapeId="0" xr:uid="{BF806841-DDAA-4F5C-9890-DB21579168A8}">
      <text>
        <r>
          <rPr>
            <b/>
            <sz val="9"/>
            <color indexed="81"/>
            <rFont val="Tahoma"/>
            <family val="2"/>
          </rPr>
          <t>Harsh Vijay:</t>
        </r>
        <r>
          <rPr>
            <sz val="9"/>
            <color indexed="81"/>
            <rFont val="Tahoma"/>
            <family val="2"/>
          </rPr>
          <t xml:space="preserve">
Includes ~₹45 Cr Nivian goodwill. Acquisition: 66.09% of ₹105 Cr company for ₹69.4 Cr. Goodwill = ₹69.4 Cr - (66.09% × net assets ~₹35 Cr) ≈ ₹46 Cr. Plus existing intangibles ₹25 Cr.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Harsh Vijay</author>
  </authors>
  <commentList>
    <comment ref="H13" authorId="0" shapeId="0" xr:uid="{91388B02-0657-4E78-BE65-0E8099F0B5F0}">
      <text>
        <r>
          <rPr>
            <b/>
            <sz val="9"/>
            <color indexed="81"/>
            <rFont val="Tahoma"/>
            <family val="2"/>
          </rPr>
          <t>Harsh Vijay:</t>
        </r>
        <r>
          <rPr>
            <sz val="9"/>
            <color indexed="81"/>
            <rFont val="Tahoma"/>
            <family val="2"/>
          </rPr>
          <t xml:space="preserve">
Includes ₹20.82 Cr cash payment for Nivian acquisition (part of ₹69.4 Cr total; balance via share swap). Intangible increase reflects Nivian goodwill.</t>
        </r>
      </text>
    </comment>
    <comment ref="H17" authorId="0" shapeId="0" xr:uid="{0C9B124A-B81B-4665-901D-AEC7B097BB33}">
      <text>
        <r>
          <rPr>
            <b/>
            <sz val="9"/>
            <color indexed="81"/>
            <rFont val="Tahoma"/>
            <family val="2"/>
          </rPr>
          <t>Harsh Vijay:</t>
        </r>
        <r>
          <rPr>
            <sz val="9"/>
            <color indexed="81"/>
            <rFont val="Tahoma"/>
            <family val="2"/>
          </rPr>
          <t xml:space="preserve">
Nivian share swap (₹48.58 Cr) is NON-CASH — does not appear in cash flow. Only the ₹20.82 Cr cash component flows through investing (via intangibles line). Debt changes reflect net borrowing movement.</t>
        </r>
      </text>
    </comment>
    <comment ref="C30" authorId="0" shapeId="0" xr:uid="{949EB452-5477-4F7A-99DB-C26ED1F90B35}">
      <text>
        <r>
          <rPr>
            <b/>
            <sz val="9"/>
            <color indexed="81"/>
            <rFont val="Tahoma"/>
            <family val="2"/>
          </rPr>
          <t>Harsh Vijay:</t>
        </r>
        <r>
          <rPr>
            <sz val="9"/>
            <color indexed="81"/>
            <rFont val="Tahoma"/>
            <family val="2"/>
          </rPr>
          <t xml:space="preserve">
FCFF = EBIT×(1-t) + D&amp;A - Capex - ΔWC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Harsh Vijay</author>
  </authors>
  <commentList>
    <comment ref="H31" authorId="0" shapeId="0" xr:uid="{FD48FF0B-3213-48A3-B419-86D2C1282723}">
      <text>
        <r>
          <rPr>
            <b/>
            <sz val="9"/>
            <color indexed="81"/>
            <rFont val="Tahoma"/>
            <family val="2"/>
          </rPr>
          <t>CMP as of Feb 19, 2026 (₹1,101 closing price). Source: NSE/BSE market data.</t>
        </r>
      </text>
    </comment>
    <comment ref="H32" authorId="0" shapeId="0" xr:uid="{AC382302-33AF-4BB4-8034-D79F2618BAEF}">
      <text>
        <r>
          <rPr>
            <b/>
            <sz val="9"/>
            <color indexed="81"/>
            <rFont val="Tahoma"/>
            <family val="2"/>
          </rPr>
          <t>Harsh Vijay:</t>
        </r>
        <r>
          <rPr>
            <sz val="9"/>
            <color indexed="81"/>
            <rFont val="Tahoma"/>
            <family val="2"/>
          </rPr>
          <t xml:space="preserve">
Market cap uses updated shares outstanding (1.0384 Cr) from Assumptions sheet, reflecting Nivian share issuance.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Harsh Vijay</author>
  </authors>
  <commentList>
    <comment ref="A16" authorId="0" shapeId="0" xr:uid="{1F1E8BA3-C431-4651-A85D-86B9821078FA}">
      <text>
        <r>
          <rPr>
            <b/>
            <sz val="9"/>
            <color indexed="81"/>
            <rFont val="Tahoma"/>
            <family val="2"/>
          </rPr>
          <t>Harsh Vijay:</t>
        </r>
        <r>
          <rPr>
            <sz val="9"/>
            <color indexed="81"/>
            <rFont val="Tahoma"/>
            <family val="2"/>
          </rPr>
          <t xml:space="preserve">
Linked to Cash Flow Row 30: EBIT×(1-t) + D&amp;A - Capex - ΔWC. Uses full Balance Sheet working capital changes for complete reconciliation with three-statement model.</t>
        </r>
      </text>
    </comment>
    <comment ref="A24" authorId="0" shapeId="0" xr:uid="{0607434A-5AAF-4DCD-B529-9EFA0DF2DDF9}">
      <text>
        <r>
          <rPr>
            <b/>
            <sz val="9"/>
            <color indexed="81"/>
            <rFont val="Tahoma"/>
            <family val="2"/>
          </rPr>
          <t>Harsh Vijay:</t>
        </r>
        <r>
          <rPr>
            <sz val="9"/>
            <color indexed="81"/>
            <rFont val="Tahoma"/>
            <family val="2"/>
          </rPr>
          <t xml:space="preserve">
TV = FCF(FY35E) × (1+g) / (WACC - g). Uses the same FCFF from Cash Flow Row 30.</t>
        </r>
      </text>
    </comment>
    <comment ref="B32" authorId="0" shapeId="0" xr:uid="{9F3BFCF8-6F78-4799-8E33-894CBCE59A03}">
      <text>
        <r>
          <rPr>
            <b/>
            <sz val="9"/>
            <color indexed="81"/>
            <rFont val="Tahoma"/>
            <family val="2"/>
          </rPr>
          <t>Harsh Vijay:</t>
        </r>
        <r>
          <rPr>
            <sz val="9"/>
            <color indexed="81"/>
            <rFont val="Tahoma"/>
            <family val="2"/>
          </rPr>
          <t xml:space="preserve">
CMP as of Feb 19, 2026 (₹1,101 closing price). Source: NSE/BSE market data.</t>
        </r>
      </text>
    </comment>
  </commentList>
</comments>
</file>

<file path=xl/sharedStrings.xml><?xml version="1.0" encoding="utf-8"?>
<sst xmlns="http://schemas.openxmlformats.org/spreadsheetml/2006/main" count="466" uniqueCount="323">
  <si>
    <t>BETA DRUGS LTD — KEY ASSUMPTIONS</t>
  </si>
  <si>
    <t>Consolidated | All figures in ₹ Crores unless stated otherwise</t>
  </si>
  <si>
    <t>1. REVENUE ASSUMPTIONS</t>
  </si>
  <si>
    <t>Assumption</t>
  </si>
  <si>
    <t>FY21A</t>
  </si>
  <si>
    <t>FY22A</t>
  </si>
  <si>
    <t>FY23A</t>
  </si>
  <si>
    <t>FY24A</t>
  </si>
  <si>
    <t>FY25A</t>
  </si>
  <si>
    <t>FY26E</t>
  </si>
  <si>
    <t>FY27E</t>
  </si>
  <si>
    <t>FY28E</t>
  </si>
  <si>
    <t>FY29E</t>
  </si>
  <si>
    <t>FY30E</t>
  </si>
  <si>
    <t>Revenue from Operations (₹ Cr)</t>
  </si>
  <si>
    <t>Revenue Growth (%)</t>
  </si>
  <si>
    <t>Revenue Mix:</t>
  </si>
  <si>
    <t xml:space="preserve">  Own Brands (₹ Cr)</t>
  </si>
  <si>
    <t xml:space="preserve">  CDMO / Contract Mfg (₹ Cr)</t>
  </si>
  <si>
    <t xml:space="preserve">  Exports (₹ Cr)</t>
  </si>
  <si>
    <t xml:space="preserve">  API Sales (₹ Cr)</t>
  </si>
  <si>
    <t xml:space="preserve">  Derma/Cosmetology (₹ Cr)</t>
  </si>
  <si>
    <t xml:space="preserve">  Other Income (₹ Cr)</t>
  </si>
  <si>
    <t>2. MARGIN &amp; COST ASSUMPTIONS</t>
  </si>
  <si>
    <t>COGS / Material Cost (% of Rev)</t>
  </si>
  <si>
    <t>Employee Cost (% of Rev)</t>
  </si>
  <si>
    <t>Other Expenses (% of Rev)</t>
  </si>
  <si>
    <t>EBITDA Margin (%)</t>
  </si>
  <si>
    <t>Finance Cost (% of Rev)</t>
  </si>
  <si>
    <t>Effective Tax Rate (%)</t>
  </si>
  <si>
    <t>Net Profit Margin (%)</t>
  </si>
  <si>
    <t>3. BALANCE SHEET &amp; WORKING CAPITAL ASSUMPTIONS</t>
  </si>
  <si>
    <t>Debtor Days</t>
  </si>
  <si>
    <t>Inventory Days</t>
  </si>
  <si>
    <t>Creditor Days</t>
  </si>
  <si>
    <t>Capex (₹ Cr)</t>
  </si>
  <si>
    <t>Capex (% of Rev)</t>
  </si>
  <si>
    <t>Equity Shares Outstanding (Cr)</t>
  </si>
  <si>
    <t>Margin Expansion Rationale:</t>
  </si>
  <si>
    <t>Key Risks:</t>
  </si>
  <si>
    <t>BETA DRUGS LTD — CONSOLIDATED INCOME STATEMENT</t>
  </si>
  <si>
    <t>All figures in ₹ Crores | Year ending March</t>
  </si>
  <si>
    <t>Particulars</t>
  </si>
  <si>
    <t>Revenue from Operations</t>
  </si>
  <si>
    <t xml:space="preserve">  YoY Growth (%)</t>
  </si>
  <si>
    <t>Other Income</t>
  </si>
  <si>
    <t>Total Income</t>
  </si>
  <si>
    <t>EXPENSES:</t>
  </si>
  <si>
    <t>Cost of Materials / COGS</t>
  </si>
  <si>
    <t xml:space="preserve">  % of Revenue</t>
  </si>
  <si>
    <t>Employee Benefit Expense</t>
  </si>
  <si>
    <t>Other Expenses</t>
  </si>
  <si>
    <t>Total Operating Expenses</t>
  </si>
  <si>
    <t>EBITDA</t>
  </si>
  <si>
    <t xml:space="preserve">  EBITDA Margin (%)</t>
  </si>
  <si>
    <t>Depreciation &amp; Amortization</t>
  </si>
  <si>
    <t>Finance Cost</t>
  </si>
  <si>
    <t>Profit Before Tax (PBT)</t>
  </si>
  <si>
    <t>Tax Expense</t>
  </si>
  <si>
    <t xml:space="preserve">  Effective Tax Rate (%)</t>
  </si>
  <si>
    <t>NET PROFIT (PAT)</t>
  </si>
  <si>
    <t xml:space="preserve">  Net Profit Margin (%)</t>
  </si>
  <si>
    <t>EPS (₹)</t>
  </si>
  <si>
    <t>Shares Outstanding (Cr)</t>
  </si>
  <si>
    <t>BETA DRUGS LTD — CONSOLIDATED BALANCE SHEET</t>
  </si>
  <si>
    <t>All figures in ₹ Crores | As at March end</t>
  </si>
  <si>
    <t>EQUITY &amp; LIABILITIES</t>
  </si>
  <si>
    <t>Share Capital</t>
  </si>
  <si>
    <t>Reserves &amp; Surplus</t>
  </si>
  <si>
    <t>Total Equity</t>
  </si>
  <si>
    <t>Non-Current Liabilities</t>
  </si>
  <si>
    <t xml:space="preserve">  Long-term Borrowings</t>
  </si>
  <si>
    <t xml:space="preserve">  Other Non-Current Liabilities</t>
  </si>
  <si>
    <t>Current Liabilities</t>
  </si>
  <si>
    <t xml:space="preserve">  Trade Payables</t>
  </si>
  <si>
    <t xml:space="preserve">  Short-term Borrowings</t>
  </si>
  <si>
    <t xml:space="preserve">  Other Current Liabilities</t>
  </si>
  <si>
    <t>Total Current Liabilities</t>
  </si>
  <si>
    <t>TOTAL EQUITY &amp; LIABILITIES</t>
  </si>
  <si>
    <t>ASSETS</t>
  </si>
  <si>
    <t>Non-Current Assets</t>
  </si>
  <si>
    <t xml:space="preserve">  Net Fixed Assets (PPE)</t>
  </si>
  <si>
    <t xml:space="preserve">  Intangible Assets &amp; CWIP</t>
  </si>
  <si>
    <t xml:space="preserve">  Other Non-Current Assets</t>
  </si>
  <si>
    <t>Current Assets</t>
  </si>
  <si>
    <t xml:space="preserve">  Inventories</t>
  </si>
  <si>
    <t xml:space="preserve">  Trade Receivables</t>
  </si>
  <si>
    <t xml:space="preserve">  Cash &amp; Cash Equivalents</t>
  </si>
  <si>
    <t xml:space="preserve">  Other Current Assets</t>
  </si>
  <si>
    <t>TOTAL ASSETS</t>
  </si>
  <si>
    <t>BETA DRUGS LTD — CASH FLOW STATEMENT</t>
  </si>
  <si>
    <t>All figures in ₹ Crores</t>
  </si>
  <si>
    <t>A. CASH FLOW FROM OPERATIONS</t>
  </si>
  <si>
    <t>Net Profit (PAT)</t>
  </si>
  <si>
    <t>(+) Depreciation &amp; Amortization</t>
  </si>
  <si>
    <t>(+/-) Working Capital Changes</t>
  </si>
  <si>
    <t>Cash from Operations (CFO)</t>
  </si>
  <si>
    <t>B. CASH FLOW FROM INVESTING</t>
  </si>
  <si>
    <t>(-) Capital Expenditure</t>
  </si>
  <si>
    <t>(-) Investments &amp; Others</t>
  </si>
  <si>
    <t>Cash from Investing (CFI)</t>
  </si>
  <si>
    <t>C. CASH FLOW FROM FINANCING</t>
  </si>
  <si>
    <t>(+/-) Debt (Repayment)/Raised</t>
  </si>
  <si>
    <t>Cash from Financing (CFF)</t>
  </si>
  <si>
    <t>NET CHANGE IN CASH</t>
  </si>
  <si>
    <t>FREE CASH FLOW (CFO - Capex)</t>
  </si>
  <si>
    <t xml:space="preserve">  FCF Margin (%)</t>
  </si>
  <si>
    <t>BETA DRUGS LTD — KEY RATIOS &amp; VALUATION</t>
  </si>
  <si>
    <t>All figures in ₹ Crores unless stated otherwise</t>
  </si>
  <si>
    <t>Key Metrics</t>
  </si>
  <si>
    <t>PROFITABILITY RATIOS</t>
  </si>
  <si>
    <t>Gross Margin (%)</t>
  </si>
  <si>
    <t>ROE (%)</t>
  </si>
  <si>
    <t>ROCE (%)</t>
  </si>
  <si>
    <t>PER SHARE METRICS</t>
  </si>
  <si>
    <t>Book Value / Share (₹)</t>
  </si>
  <si>
    <t>EPS Growth (%)</t>
  </si>
  <si>
    <t>EFFICIENCY RATIOS</t>
  </si>
  <si>
    <t>Debt/Equity</t>
  </si>
  <si>
    <t>Current Ratio</t>
  </si>
  <si>
    <t>Interest Coverage (x)</t>
  </si>
  <si>
    <t>GROWTH METRICS</t>
  </si>
  <si>
    <t>EBITDA Growth (%)</t>
  </si>
  <si>
    <t>PAT Growth (%)</t>
  </si>
  <si>
    <t>VALUATION METRICS</t>
  </si>
  <si>
    <t>CMP (₹)</t>
  </si>
  <si>
    <t>Market Cap (₹ Cr)</t>
  </si>
  <si>
    <t>P/E Ratio (x)</t>
  </si>
  <si>
    <t>EV/EBITDA (x)</t>
  </si>
  <si>
    <t>P/BV (x)</t>
  </si>
  <si>
    <t>REVENUE CAGR</t>
  </si>
  <si>
    <t>FY21-FY25 Revenue CAGR</t>
  </si>
  <si>
    <t>FY25-FY30E Revenue CAGR</t>
  </si>
  <si>
    <t>FY25-FY30E PAT CAGR</t>
  </si>
  <si>
    <t>(-) Dividends Paid</t>
  </si>
  <si>
    <t>Opening Cash Balance</t>
  </si>
  <si>
    <t>Closing Cash Balance</t>
  </si>
  <si>
    <t>BETA DRUGS LTD — VALUATION ANALYSIS</t>
  </si>
  <si>
    <t>DCF &amp; Comparable Company Analysis | All figures in ₹ Crores unless stated otherwise</t>
  </si>
  <si>
    <t>SECTION A: KEY ASSUMPTIONS</t>
  </si>
  <si>
    <t>Parameter</t>
  </si>
  <si>
    <t>Value</t>
  </si>
  <si>
    <t>Notes</t>
  </si>
  <si>
    <t>WACC (Base Case)</t>
  </si>
  <si>
    <t>Terminal Growth Rate (g)</t>
  </si>
  <si>
    <t>From Income Statement</t>
  </si>
  <si>
    <t>Current Net Debt (FY25A)</t>
  </si>
  <si>
    <t>LT Borrow + ST Borrow - Cash (FY25A)</t>
  </si>
  <si>
    <t>Projection Period</t>
  </si>
  <si>
    <t>Valuation Date</t>
  </si>
  <si>
    <t>As of FY25A (Mar 2025)</t>
  </si>
  <si>
    <t>Discount Method</t>
  </si>
  <si>
    <t>Mid-Year Convention</t>
  </si>
  <si>
    <t>Discount Period (Mid-Year)</t>
  </si>
  <si>
    <t>Discount Factor</t>
  </si>
  <si>
    <t>PV of FCF (₹ Cr)</t>
  </si>
  <si>
    <t>Sum of PV of FCFs</t>
  </si>
  <si>
    <t>Terminal Value (Gordon Growth)</t>
  </si>
  <si>
    <t>PV of Terminal Value</t>
  </si>
  <si>
    <t>(-) Net Debt (FY25A)</t>
  </si>
  <si>
    <t>Neg = Net Cash (adds to equity)</t>
  </si>
  <si>
    <t>WACC \ Terminal Growth</t>
  </si>
  <si>
    <t>SECTION D: COMPARABLE COMPANY ANALYSIS</t>
  </si>
  <si>
    <t>Company</t>
  </si>
  <si>
    <t>Mkt Cap (Rs Cr)</t>
  </si>
  <si>
    <t>Revenue (Rs Cr)</t>
  </si>
  <si>
    <t>P/E (TTM)</t>
  </si>
  <si>
    <t>EV/EBITDA</t>
  </si>
  <si>
    <t>Source</t>
  </si>
  <si>
    <t>Natco Pharma</t>
  </si>
  <si>
    <t>Alkem Laboratories</t>
  </si>
  <si>
    <t>Ajanta Pharma</t>
  </si>
  <si>
    <t>Aurobindo Pharma</t>
  </si>
  <si>
    <t>Sun Pharma</t>
  </si>
  <si>
    <t>Bliss GVS Pharma</t>
  </si>
  <si>
    <t>Indoco Remedies</t>
  </si>
  <si>
    <t>Panacea Biotec</t>
  </si>
  <si>
    <t>Median</t>
  </si>
  <si>
    <t>SECTION E: IMPLIED VALUATION FROM COMPS</t>
  </si>
  <si>
    <t>Beta Drugs Metric</t>
  </si>
  <si>
    <t>Income Statement</t>
  </si>
  <si>
    <t>EBITDA (Rs Cr)</t>
  </si>
  <si>
    <t>PAT (Rs Cr)</t>
  </si>
  <si>
    <t>Net Debt (Rs Cr)</t>
  </si>
  <si>
    <t>Balance Sheet</t>
  </si>
  <si>
    <t>Implied Valuation (Median Multiples)</t>
  </si>
  <si>
    <t>Method</t>
  </si>
  <si>
    <t>(Rs Cr)</t>
  </si>
  <si>
    <t>(Rs)</t>
  </si>
  <si>
    <t>P/E Method</t>
  </si>
  <si>
    <t>EV/EBITDA Method</t>
  </si>
  <si>
    <t>SECTION F: VALUATION SUMMARY (Rs per Share)</t>
  </si>
  <si>
    <t>Base Case</t>
  </si>
  <si>
    <t>DCF (WACC Sensitivity)</t>
  </si>
  <si>
    <t>WACC 11-16%, g 3-7%</t>
  </si>
  <si>
    <t>Current Market Price</t>
  </si>
  <si>
    <t>Feb 2026 approx.</t>
  </si>
  <si>
    <t>Equity Value / Shares</t>
  </si>
  <si>
    <t>DISCLAIMER &amp; SOURCES</t>
  </si>
  <si>
    <t xml:space="preserve">  IVF / Nivian Life Sciences (₹ Cr)</t>
  </si>
  <si>
    <t>• FY26E: Mgmt guided ₹400 Cr (revised DOWN from ₹420 Cr). Q3 revenue dipped to ₹89.58 Cr due to: (a) strategic exit from Platin CDMO (~₹46.5 Cr FY25), (b) export tender delays. This is STRUCTURAL, not seasonal.</t>
  </si>
  <si>
    <t>• FY27E: Mgmt targets ₹530 Cr with 24% EBITDA margin. Growth drivers: NDDS launches (Methotrexate Oral ~₹13 Cr), export ramp-up (EU-GMP/ANVISA/COFEPRIS approvals), Nivian cross-selling via Beta's gynec distribution network.</t>
  </si>
  <si>
    <t>• Export thesis: CAGR was 64% (FY20-FY25). We assume 25-35% forward growth as regulated market registrations (EU, LatAm, Africa) come through. 21% employee cost increase in FY26 is INVESTMENT for regulatory teams.</t>
  </si>
  <si>
    <t>• EBITDA margins guided 23-25% range. Q3 FY26 EBITDA was 21.5% but gross margin hit 59% (up from 52% YoY) — product mix shift is WORKING. Operating leverage temporarily hit by employee hiring.</t>
  </si>
  <si>
    <t>• COGS structural improvement: 34 oncology APIs manufactured in-house (Adley Lab, Derabassi). Backward integration reducing raw material dependence. Each % of COGS saved = ~₹4-5 Cr at ₹400 Cr revenue.</t>
  </si>
  <si>
    <t>• Inspira Derma turned profitable Nov 2025 — margin drag ELIMINATED. Nivian IVF products carry healthy margins given branded specialty nature.</t>
  </si>
  <si>
    <t>IVF / Nivian Acquisition Rationale:</t>
  </si>
  <si>
    <t>• India IVF market: USD 1.06B (2023), growing 7.8% CAGR to 2030. Nivian positioned in a structural growth theme at an attractive entry valuation (~₹105 Cr overall, ~2.4x revenue).</t>
  </si>
  <si>
    <t>• Cross-selling synergies: Beta already has gynec field force and oncologist relationships. IVF products can leverage same distribution. Acquisition creates a fertility + oncology + derma therapeutic basket.</t>
  </si>
  <si>
    <t>• Regulatory delays in EU-GMP/ANVISA approvals; competitive intensity in oncology tenders; Nivian integration risk; export tender unpredictability; currency risk; concentration in top 10 brands (~50% of sales)</t>
  </si>
  <si>
    <t>• SCUTTLEBUTT VALIDATION: Speaking to a few gynecologists have confirmed that most of them use Nivian products. Nivian is official sponsor of upcoming ISAR (national infertility conference) — premium brand positioning.</t>
  </si>
  <si>
    <t>vs CMP</t>
  </si>
  <si>
    <t>Rating</t>
  </si>
  <si>
    <t>Rationale</t>
  </si>
  <si>
    <t>Rating Framework:</t>
  </si>
  <si>
    <t>Buy (&gt;40% upside, high conviction) | Overweight (20-40% upside OR &gt;40% with execution risk) | Equal Weight (±20%) | Underweight (-20% to -40%) | Sell (&gt;40% downside)</t>
  </si>
  <si>
    <t xml:space="preserve">  DCF Upside / (Downside)</t>
  </si>
  <si>
    <t xml:space="preserve">  P/E Upside / (Downside)</t>
  </si>
  <si>
    <t xml:space="preserve">  EV/EBITDA Upside / (Downside)</t>
  </si>
  <si>
    <t>SECTION G: INVESTMENT RATING</t>
  </si>
  <si>
    <t>BUY ▲</t>
  </si>
  <si>
    <t>• FY26E Nivian Contribution: ₹43 Cr (9M actual ₹30.3 Cr). 66.09% stake acquired for ₹69.4 Cr. SCUTTLEBUTT: Gynecologists actively using Nivian products - confirms market adoption before financial data shows it.</t>
  </si>
  <si>
    <t>B/S Check</t>
  </si>
  <si>
    <t>4. REVENUE MIX GROWTH RATES</t>
  </si>
  <si>
    <t>Vertical Growth (%)</t>
  </si>
  <si>
    <t xml:space="preserve">  Own Brands Growth (%)</t>
  </si>
  <si>
    <t xml:space="preserve">  CDMO / Contract Mfg Growth (%)</t>
  </si>
  <si>
    <t xml:space="preserve">  Exports Growth (%)</t>
  </si>
  <si>
    <t xml:space="preserve">  API Sales Growth (%)</t>
  </si>
  <si>
    <t xml:space="preserve">  Derma/Cosmetology Growth (%)</t>
  </si>
  <si>
    <t xml:space="preserve">  IVF / Nivian Growth (%)</t>
  </si>
  <si>
    <t>New</t>
  </si>
  <si>
    <t xml:space="preserve">  Total Revenue Growth (%)</t>
  </si>
  <si>
    <t xml:space="preserve">  Revenue Mix (% of Total):</t>
  </si>
  <si>
    <t xml:space="preserve">    Own Brands (% share)</t>
  </si>
  <si>
    <t xml:space="preserve">    CDMO (% share)</t>
  </si>
  <si>
    <t xml:space="preserve">    Exports (% share)</t>
  </si>
  <si>
    <t xml:space="preserve">    API Sales (% share)</t>
  </si>
  <si>
    <t xml:space="preserve">    Derma/Cosmetology (% share)</t>
  </si>
  <si>
    <t xml:space="preserve">    IVF / Nivian (% share)</t>
  </si>
  <si>
    <t>FY31E</t>
  </si>
  <si>
    <t>FY32E</t>
  </si>
  <si>
    <t>FY33E</t>
  </si>
  <si>
    <t>FY34E</t>
  </si>
  <si>
    <t>FY35E</t>
  </si>
  <si>
    <t>5. RATIONALE &amp; KEY NOTES</t>
  </si>
  <si>
    <t>SECTION B: DCF VALUATION (10-Year Projection)</t>
  </si>
  <si>
    <t>DCF COMPUTATION:</t>
  </si>
  <si>
    <t>Enterprise Value (₹ Cr)</t>
  </si>
  <si>
    <t>Equity Value (₹ Cr)</t>
  </si>
  <si>
    <t>DCF Value per Share (₹)</t>
  </si>
  <si>
    <t>Current Market Price (₹)</t>
  </si>
  <si>
    <t>FY26E – FY35E (10 Years)</t>
  </si>
  <si>
    <t>10-year DCF base case implies ~236% upside (₹3,702 vs CMP ₹1,101). Even the most bear case (WACC 16%, g 3%) implies ₹2,207 — still 100% upside. The 10-year projection captures the full earnings power of Beta's transformation from CDMO-dependent to a diversified own-brands + exports + IVF platform. Terminal value is now only ~69% of EV (vs ~82% in 5-year DCF), making the valuation more robust. Key drivers: exports scaling to ~40% of revenue by FY35E (EU-GMP/ANVISA moat), IVF growing to ~10% via Nivian, and EBITDA margins expanding to 40% through backward integration and operating leverage. Near-term headwinds (Platin exit, employee cost spike, export delays) are KNOWN and PRICED IN. Scuttlebutt confirms Nivian product traction. Recommend BUY — the 10-year DCF gives higher conviction as it reduces terminal value sensitivity. Key risks: execution on EU-GMP/export approvals, Nivian integration, and the assumption that margins can sustain 38-40% at scale.</t>
  </si>
  <si>
    <t>FREE CASH FLOW TO FIRM (FCFF)</t>
  </si>
  <si>
    <t>FCFF (NOPAT + D&amp;A - Capex - ΔWC)</t>
  </si>
  <si>
    <t xml:space="preserve">  FCFF Margin (%)</t>
  </si>
  <si>
    <t>FCFF (₹ Cr)</t>
  </si>
  <si>
    <t>SENSITIVITY TABLE: DCF Value per Share (₹)</t>
  </si>
  <si>
    <t>WACC BUILDUP (CAPM-Based)</t>
  </si>
  <si>
    <t>Source / Notes</t>
  </si>
  <si>
    <t>Risk-Free Rate (Rf)</t>
  </si>
  <si>
    <t>Equity Risk Premium (ERP)</t>
  </si>
  <si>
    <t>Damodaran India ERP (Jul 2025 update)</t>
  </si>
  <si>
    <t>Unlevered Beta (βu) — Pharma India</t>
  </si>
  <si>
    <t>Damodaran India Pharma (Jan 2026)</t>
  </si>
  <si>
    <t>Levered Beta (βL)</t>
  </si>
  <si>
    <t>βL = βu × [1 + (1-t) × D/E]</t>
  </si>
  <si>
    <t>Cost of Equity (Ke)</t>
  </si>
  <si>
    <t>Ke = Rf + βL × ERP</t>
  </si>
  <si>
    <t>Cost of Debt (Kd, pre-tax)</t>
  </si>
  <si>
    <t>Tax Rate (t)</t>
  </si>
  <si>
    <t>From Assumptions sheet</t>
  </si>
  <si>
    <t>After-Tax Cost of Debt (Kd×(1-t))</t>
  </si>
  <si>
    <t>Weight of Equity (E/V)</t>
  </si>
  <si>
    <t>Weight of Debt (D/V)</t>
  </si>
  <si>
    <t>WACC</t>
  </si>
  <si>
    <t>Kd × (1 - t)</t>
  </si>
  <si>
    <t>Ke × (E/V) + Kd(1-t) × (D/V)</t>
  </si>
  <si>
    <t>Derived from CAPM WACC buildup (Section C below)</t>
  </si>
  <si>
    <t>DCF assumptions: 10-year explicit projection (FY26E-FY35E), WACC ~13.8% (CAPM-derived, see WACC Buildup), Terminal growth 5.5%, FCFF = NOPAT + D&amp;A - Capex - ΔWC. All assumptions from Assumptions sheet. Mid-year convention applied.</t>
  </si>
  <si>
    <t>small-cap pharma benchmark</t>
  </si>
  <si>
    <t>SECTION C</t>
  </si>
  <si>
    <t>FY25-FY35E Revenue CAGR</t>
  </si>
  <si>
    <t>FY25-FY35E PAT CAGR</t>
  </si>
  <si>
    <t>D&amp;A (% of PPE + Intangibles)</t>
  </si>
  <si>
    <t>• FY28E-FY30E: Revenue doubling target (₹750 Cr by FY28). We model ~₹711 Cr, slightly conservative. Long-term growth tapers from ~32% → ~23% as base effect kicks in.</t>
  </si>
  <si>
    <t>• Employee cost (+21% YoY in FY26) is front-loaded investment. As revenue scales ~35% in FY27 but headcount grows ~12-15%, operating leverage RECOVERS sharply.</t>
  </si>
  <si>
    <t>FY26E Value</t>
  </si>
  <si>
    <t>FY26E Basis</t>
  </si>
  <si>
    <t>FY26E / Share</t>
  </si>
  <si>
    <t>Low</t>
  </si>
  <si>
    <t>High</t>
  </si>
  <si>
    <t>FY26E P/E applied</t>
  </si>
  <si>
    <t>FY26E EV/EBITDA applied</t>
  </si>
  <si>
    <t>SECTION F2: BLENDED FAIR VALUE (50% DCF + 50% Comps)</t>
  </si>
  <si>
    <t>Component</t>
  </si>
  <si>
    <t>Value (Rs/Share)</t>
  </si>
  <si>
    <t>Weight</t>
  </si>
  <si>
    <t>Weighted Value</t>
  </si>
  <si>
    <t>DCF (Base Case)</t>
  </si>
  <si>
    <t>WACC 13.8%, g 5.5%</t>
  </si>
  <si>
    <t>Comps — P/E (FY26E)</t>
  </si>
  <si>
    <t>Median P/E × FY26E PAT</t>
  </si>
  <si>
    <t>Comps — EV/EBITDA (FY26E)</t>
  </si>
  <si>
    <t>Median EV/EBITDA × FY26E EBITDA</t>
  </si>
  <si>
    <t>Comps Average</t>
  </si>
  <si>
    <t>Avg of P/E &amp; EV/EBITDA</t>
  </si>
  <si>
    <t>Blended Fair Value</t>
  </si>
  <si>
    <t>50% DCF + 50% Comps</t>
  </si>
  <si>
    <t xml:space="preserve">  Blended Upside / (Downside)</t>
  </si>
  <si>
    <t xml:space="preserve">  DCF-only Upside / (Downside)</t>
  </si>
  <si>
    <t xml:space="preserve">  Comps-only Upside / (Downside)</t>
  </si>
  <si>
    <t>India 10-yr G-Sec yield</t>
  </si>
  <si>
    <t>CMP × Shares Outstanding</t>
  </si>
  <si>
    <t>Total Debt (₹ Cr, FY26E)</t>
  </si>
  <si>
    <t>LT Borrow + ST Borrow from BS (FY26E)</t>
  </si>
  <si>
    <t>Cash &amp; Equivalents (₹ Cr, FY26E)</t>
  </si>
  <si>
    <t>Cash from BS (FY26E)</t>
  </si>
  <si>
    <t>D/E Ratio (Book Value, FY26E)</t>
  </si>
  <si>
    <t>Total Debt / Shareholders' Equity (FY26E)</t>
  </si>
  <si>
    <t>E/(D+E) = 1 / (1 + D/E)</t>
  </si>
  <si>
    <t>D/(D+E) = (D/E) / (1 + D/E)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</si>
</sst>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#,##0.0"/>
    <numFmt numFmtId="165" formatCode="0.0%"/>
    <numFmt numFmtId="166" formatCode="0.000"/>
    <numFmt numFmtId="167" formatCode="0.0\x"/>
    <numFmt numFmtId="168" formatCode="0.0"/>
    <numFmt numFmtId="169" formatCode="0.0000"/>
    <numFmt numFmtId="172" formatCode="#,##0.0;\(#,##0.0\);\-"/>
    <numFmt numFmtId="173" formatCode="#,##0.0;\(#,##0.0\);\✓"/>
  </numFmts>
  <fonts count="3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FF0000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0"/>
      <color rgb="FF808080"/>
      <name val="Calibri"/>
      <family val="2"/>
      <scheme val="minor"/>
    </font>
    <font>
      <sz val="9"/>
      <color rgb="FF808080"/>
      <name val="Calibri"/>
      <family val="2"/>
      <scheme val="minor"/>
    </font>
    <font>
      <b/>
      <sz val="9"/>
      <color rgb="FF808080"/>
      <name val="Calibri"/>
      <family val="2"/>
      <scheme val="minor"/>
    </font>
    <font>
      <b/>
      <sz val="11"/>
      <color rgb="FF000000"/>
      <name val="Calibri"/>
      <family val="2"/>
      <scheme val="minor"/>
    </font>
    <font>
      <sz val="10"/>
      <color rgb="FF000000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0"/>
      <color rgb="FFFFFFFF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0"/>
      <color rgb="FFC00000"/>
      <name val="Calibri"/>
      <family val="2"/>
      <scheme val="minor"/>
    </font>
    <font>
      <b/>
      <sz val="10"/>
      <color rgb="FF008000"/>
      <name val="Calibri"/>
      <family val="2"/>
      <scheme val="minor"/>
    </font>
    <font>
      <b/>
      <sz val="13"/>
      <color rgb="FF1F4E79"/>
      <name val="Calibri"/>
      <family val="2"/>
      <scheme val="minor"/>
    </font>
    <font>
      <i/>
      <sz val="9"/>
      <color rgb="FF4472C4"/>
      <name val="Calibri"/>
      <family val="2"/>
      <scheme val="minor"/>
    </font>
    <font>
      <b/>
      <sz val="10"/>
      <color rgb="FF1F4E79"/>
      <name val="Calibri"/>
      <family val="2"/>
      <scheme val="minor"/>
    </font>
    <font>
      <sz val="9"/>
      <color theme="1"/>
      <name val="Calibri"/>
      <family val="2"/>
      <scheme val="minor"/>
    </font>
    <font>
      <b/>
      <sz val="10"/>
      <color rgb="FF000000"/>
      <name val="Calibri"/>
      <family val="2"/>
      <scheme val="minor"/>
    </font>
    <font>
      <sz val="10"/>
      <color rgb="FF0000FF"/>
      <name val="Calibri"/>
      <family val="2"/>
      <scheme val="minor"/>
    </font>
    <font>
      <b/>
      <i/>
      <sz val="10"/>
      <color theme="1"/>
      <name val="Calibri"/>
      <family val="2"/>
      <scheme val="minor"/>
    </font>
    <font>
      <b/>
      <sz val="10"/>
      <color rgb="FF0000FF"/>
      <name val="Calibri"/>
      <family val="2"/>
      <scheme val="minor"/>
    </font>
    <font>
      <b/>
      <i/>
      <sz val="10"/>
      <color rgb="FF000000"/>
      <name val="Calibri"/>
      <family val="2"/>
      <scheme val="minor"/>
    </font>
    <font>
      <b/>
      <sz val="9"/>
      <color rgb="FFFFFFFF"/>
      <name val="Calibri"/>
      <family val="2"/>
      <scheme val="minor"/>
    </font>
    <font>
      <b/>
      <sz val="9"/>
      <color theme="1"/>
      <name val="Calibri"/>
      <family val="2"/>
      <scheme val="minor"/>
    </font>
    <font>
      <b/>
      <sz val="9"/>
      <color rgb="FFFF0000"/>
      <name val="Calibri"/>
      <family val="2"/>
      <scheme val="minor"/>
    </font>
    <font>
      <sz val="10"/>
      <color rgb="FF008000"/>
      <name val="Calibri"/>
      <family val="2"/>
      <scheme val="minor"/>
    </font>
    <font>
      <b/>
      <sz val="10"/>
      <color rgb="FFFF0000"/>
      <name val="Calibri"/>
      <family val="2"/>
      <scheme val="minor"/>
    </font>
    <font>
      <b/>
      <sz val="10"/>
      <color rgb="FF808080"/>
      <name val="Calibri"/>
      <family val="2"/>
      <scheme val="minor"/>
    </font>
    <font>
      <sz val="9.5"/>
      <color rgb="FF000000"/>
      <name val="Calibri"/>
      <family val="2"/>
      <scheme val="minor"/>
    </font>
  </fonts>
  <fills count="17">
    <fill>
      <patternFill patternType="none"/>
    </fill>
    <fill>
      <patternFill patternType="gray125"/>
    </fill>
    <fill>
      <patternFill patternType="solid">
        <fgColor rgb="FFD6E4F0"/>
        <bgColor indexed="64"/>
      </patternFill>
    </fill>
    <fill>
      <patternFill patternType="solid">
        <fgColor rgb="FF1F4E79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4472C4"/>
        <bgColor indexed="64"/>
      </patternFill>
    </fill>
    <fill>
      <patternFill patternType="solid">
        <fgColor rgb="FFE2EFDA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8" tint="0.79998168889431442"/>
        <bgColor indexed="64"/>
      </patternFill>
    </fill>
  </fills>
  <borders count="3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medium">
        <color auto="1"/>
      </top>
      <bottom/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/>
      <top/>
      <bottom style="medium">
        <color rgb="FF1F4E79"/>
      </bottom>
      <diagonal/>
    </border>
    <border>
      <left/>
      <right/>
      <top/>
      <bottom style="thin">
        <color rgb="FF9DC3E6"/>
      </bottom>
      <diagonal/>
    </border>
    <border>
      <left/>
      <right/>
      <top style="thin">
        <color rgb="FF9DC3E6"/>
      </top>
      <bottom/>
      <diagonal/>
    </border>
    <border>
      <left/>
      <right/>
      <top style="thin">
        <color rgb="FF1F4E79"/>
      </top>
      <bottom/>
      <diagonal/>
    </border>
    <border>
      <left/>
      <right/>
      <top style="thin">
        <color rgb="FF1F4E79"/>
      </top>
      <bottom style="double">
        <color rgb="FF1F4E79"/>
      </bottom>
      <diagonal/>
    </border>
    <border>
      <left/>
      <right style="medium">
        <color rgb="FF1F4E79"/>
      </right>
      <top/>
      <bottom/>
      <diagonal/>
    </border>
    <border>
      <left/>
      <right style="medium">
        <color rgb="FF1F4E79"/>
      </right>
      <top/>
      <bottom style="medium">
        <color rgb="FF1F4E79"/>
      </bottom>
      <diagonal/>
    </border>
    <border>
      <left/>
      <right style="medium">
        <color rgb="FF1F4E79"/>
      </right>
      <top/>
      <bottom style="thin">
        <color rgb="FF9DC3E6"/>
      </bottom>
      <diagonal/>
    </border>
    <border>
      <left/>
      <right style="medium">
        <color rgb="FF1F4E79"/>
      </right>
      <top style="thin">
        <color rgb="FF9DC3E6"/>
      </top>
      <bottom/>
      <diagonal/>
    </border>
    <border>
      <left/>
      <right style="medium">
        <color rgb="FF1F4E79"/>
      </right>
      <top style="thin">
        <color rgb="FF1F4E79"/>
      </top>
      <bottom style="double">
        <color rgb="FF1F4E79"/>
      </bottom>
      <diagonal/>
    </border>
    <border>
      <left/>
      <right/>
      <top style="thin">
        <color rgb="FF9DC3E6"/>
      </top>
      <bottom style="thin">
        <color rgb="FF9DC3E6"/>
      </bottom>
      <diagonal/>
    </border>
    <border>
      <left/>
      <right style="medium">
        <color rgb="FF1F4E79"/>
      </right>
      <top style="thin">
        <color rgb="FF9DC3E6"/>
      </top>
      <bottom style="thin">
        <color rgb="FF9DC3E6"/>
      </bottom>
      <diagonal/>
    </border>
    <border>
      <left/>
      <right/>
      <top/>
      <bottom style="double">
        <color rgb="FF1F4E79"/>
      </bottom>
      <diagonal/>
    </border>
    <border>
      <left/>
      <right style="medium">
        <color rgb="FF1F4E79"/>
      </right>
      <top style="thin">
        <color rgb="FF1F4E79"/>
      </top>
      <bottom/>
      <diagonal/>
    </border>
    <border>
      <left/>
      <right style="medium">
        <color rgb="FF1F4E79"/>
      </right>
      <top/>
      <bottom style="double">
        <color rgb="FF1F4E79"/>
      </bottom>
      <diagonal/>
    </border>
    <border>
      <left/>
      <right/>
      <top style="medium">
        <color rgb="FF1F4E79"/>
      </top>
      <bottom/>
      <diagonal/>
    </border>
    <border>
      <left/>
      <right/>
      <top style="thin">
        <color rgb="FF1F4E79"/>
      </top>
      <bottom style="thin">
        <color rgb="FF1F4E79"/>
      </bottom>
      <diagonal/>
    </border>
    <border>
      <left/>
      <right style="medium">
        <color rgb="FF1F4E79"/>
      </right>
      <top style="thin">
        <color rgb="FF1F4E79"/>
      </top>
      <bottom style="thin">
        <color rgb="FF1F4E79"/>
      </bottom>
      <diagonal/>
    </border>
    <border>
      <left/>
      <right/>
      <top style="medium">
        <color rgb="FF1F4E79"/>
      </top>
      <bottom style="thin">
        <color rgb="FF1F4E79"/>
      </bottom>
      <diagonal/>
    </border>
    <border>
      <left/>
      <right/>
      <top style="thin">
        <color rgb="FF1F4E79"/>
      </top>
      <bottom style="medium">
        <color rgb="FF1F4E79"/>
      </bottom>
      <diagonal/>
    </border>
    <border>
      <left/>
      <right style="medium">
        <color rgb="FF1F4E79"/>
      </right>
      <top style="thin">
        <color rgb="FF1F4E79"/>
      </top>
      <bottom style="medium">
        <color rgb="FF1F4E79"/>
      </bottom>
      <diagonal/>
    </border>
    <border>
      <left/>
      <right style="medium">
        <color rgb="FF1F4E79"/>
      </right>
      <top style="medium">
        <color rgb="FF1F4E79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/>
      <bottom style="thin">
        <color rgb="FF1F4E79"/>
      </bottom>
      <diagonal/>
    </border>
    <border>
      <left/>
      <right/>
      <top style="medium">
        <color rgb="FF1F4E79"/>
      </top>
      <bottom style="double">
        <color rgb="FF1F4E79"/>
      </bottom>
      <diagonal/>
    </border>
    <border>
      <left style="thin">
        <color auto="1"/>
      </left>
      <right/>
      <top style="double">
        <color rgb="FF1F4E79"/>
      </top>
      <bottom style="medium">
        <color indexed="64"/>
      </bottom>
      <diagonal/>
    </border>
  </borders>
  <cellStyleXfs count="2">
    <xf numFmtId="0" fontId="0" fillId="0" borderId="0"/>
    <xf numFmtId="9" fontId="10" fillId="0" borderId="0" applyFont="0" applyFill="0" applyBorder="0" applyAlignment="0" applyProtection="0"/>
  </cellStyleXfs>
  <cellXfs count="266">
    <xf numFmtId="0" fontId="0" fillId="0" borderId="0" xfId="0"/>
    <xf numFmtId="0" fontId="0" fillId="2" borderId="0" xfId="0" applyFill="1"/>
    <xf numFmtId="0" fontId="1" fillId="0" borderId="0" xfId="0" applyFont="1"/>
    <xf numFmtId="0" fontId="5" fillId="0" borderId="0" xfId="0" applyFont="1"/>
    <xf numFmtId="0" fontId="6" fillId="0" borderId="0" xfId="0" applyFont="1"/>
    <xf numFmtId="0" fontId="7" fillId="0" borderId="0" xfId="0" applyFont="1"/>
    <xf numFmtId="3" fontId="2" fillId="0" borderId="0" xfId="0" applyNumberFormat="1" applyFont="1"/>
    <xf numFmtId="0" fontId="11" fillId="3" borderId="0" xfId="0" applyFont="1" applyFill="1"/>
    <xf numFmtId="0" fontId="12" fillId="3" borderId="0" xfId="0" applyFont="1" applyFill="1"/>
    <xf numFmtId="0" fontId="13" fillId="0" borderId="0" xfId="0" applyFont="1"/>
    <xf numFmtId="0" fontId="12" fillId="0" borderId="0" xfId="0" applyFont="1"/>
    <xf numFmtId="164" fontId="12" fillId="0" borderId="0" xfId="0" applyNumberFormat="1" applyFont="1"/>
    <xf numFmtId="165" fontId="5" fillId="0" borderId="0" xfId="0" applyNumberFormat="1" applyFont="1"/>
    <xf numFmtId="0" fontId="13" fillId="6" borderId="0" xfId="0" applyFont="1" applyFill="1"/>
    <xf numFmtId="0" fontId="12" fillId="6" borderId="0" xfId="0" applyFont="1" applyFill="1"/>
    <xf numFmtId="0" fontId="14" fillId="0" borderId="0" xfId="0" applyFont="1"/>
    <xf numFmtId="165" fontId="15" fillId="0" borderId="0" xfId="0" applyNumberFormat="1" applyFont="1"/>
    <xf numFmtId="0" fontId="13" fillId="8" borderId="0" xfId="0" applyFont="1" applyFill="1"/>
    <xf numFmtId="0" fontId="12" fillId="8" borderId="0" xfId="0" applyFont="1" applyFill="1"/>
    <xf numFmtId="4" fontId="12" fillId="0" borderId="0" xfId="0" applyNumberFormat="1" applyFont="1"/>
    <xf numFmtId="2" fontId="12" fillId="0" borderId="0" xfId="0" applyNumberFormat="1" applyFont="1"/>
    <xf numFmtId="0" fontId="16" fillId="2" borderId="0" xfId="0" applyFont="1" applyFill="1"/>
    <xf numFmtId="0" fontId="17" fillId="0" borderId="0" xfId="0" applyFont="1"/>
    <xf numFmtId="0" fontId="11" fillId="3" borderId="7" xfId="0" applyFont="1" applyFill="1" applyBorder="1"/>
    <xf numFmtId="0" fontId="12" fillId="3" borderId="7" xfId="0" applyFont="1" applyFill="1" applyBorder="1"/>
    <xf numFmtId="0" fontId="11" fillId="3" borderId="7" xfId="0" applyFont="1" applyFill="1" applyBorder="1" applyAlignment="1">
      <alignment horizontal="center"/>
    </xf>
    <xf numFmtId="0" fontId="11" fillId="5" borderId="7" xfId="0" applyFont="1" applyFill="1" applyBorder="1" applyAlignment="1">
      <alignment horizontal="center"/>
    </xf>
    <xf numFmtId="0" fontId="13" fillId="6" borderId="8" xfId="0" applyFont="1" applyFill="1" applyBorder="1"/>
    <xf numFmtId="0" fontId="12" fillId="6" borderId="8" xfId="0" applyFont="1" applyFill="1" applyBorder="1"/>
    <xf numFmtId="0" fontId="12" fillId="7" borderId="8" xfId="0" applyFont="1" applyFill="1" applyBorder="1"/>
    <xf numFmtId="0" fontId="13" fillId="0" borderId="8" xfId="0" applyFont="1" applyBorder="1"/>
    <xf numFmtId="0" fontId="12" fillId="0" borderId="8" xfId="0" applyFont="1" applyBorder="1"/>
    <xf numFmtId="165" fontId="15" fillId="0" borderId="8" xfId="0" applyNumberFormat="1" applyFont="1" applyBorder="1"/>
    <xf numFmtId="0" fontId="13" fillId="6" borderId="9" xfId="0" applyFont="1" applyFill="1" applyBorder="1"/>
    <xf numFmtId="0" fontId="12" fillId="6" borderId="9" xfId="0" applyFont="1" applyFill="1" applyBorder="1"/>
    <xf numFmtId="165" fontId="5" fillId="0" borderId="8" xfId="0" applyNumberFormat="1" applyFont="1" applyBorder="1"/>
    <xf numFmtId="0" fontId="13" fillId="8" borderId="10" xfId="0" applyFont="1" applyFill="1" applyBorder="1"/>
    <xf numFmtId="0" fontId="12" fillId="8" borderId="10" xfId="0" applyFont="1" applyFill="1" applyBorder="1"/>
    <xf numFmtId="0" fontId="13" fillId="8" borderId="11" xfId="0" applyFont="1" applyFill="1" applyBorder="1"/>
    <xf numFmtId="0" fontId="12" fillId="8" borderId="11" xfId="0" applyFont="1" applyFill="1" applyBorder="1"/>
    <xf numFmtId="0" fontId="11" fillId="3" borderId="13" xfId="0" applyFont="1" applyFill="1" applyBorder="1" applyAlignment="1">
      <alignment horizontal="center"/>
    </xf>
    <xf numFmtId="164" fontId="12" fillId="0" borderId="12" xfId="0" applyNumberFormat="1" applyFont="1" applyBorder="1"/>
    <xf numFmtId="165" fontId="5" fillId="0" borderId="12" xfId="0" applyNumberFormat="1" applyFont="1" applyBorder="1"/>
    <xf numFmtId="0" fontId="12" fillId="0" borderId="12" xfId="0" applyFont="1" applyBorder="1"/>
    <xf numFmtId="165" fontId="15" fillId="0" borderId="14" xfId="0" applyNumberFormat="1" applyFont="1" applyBorder="1"/>
    <xf numFmtId="165" fontId="5" fillId="0" borderId="14" xfId="0" applyNumberFormat="1" applyFont="1" applyBorder="1"/>
    <xf numFmtId="165" fontId="15" fillId="0" borderId="12" xfId="0" applyNumberFormat="1" applyFont="1" applyBorder="1"/>
    <xf numFmtId="4" fontId="12" fillId="0" borderId="12" xfId="0" applyNumberFormat="1" applyFont="1" applyBorder="1"/>
    <xf numFmtId="2" fontId="12" fillId="0" borderId="12" xfId="0" applyNumberFormat="1" applyFont="1" applyBorder="1"/>
    <xf numFmtId="0" fontId="18" fillId="0" borderId="0" xfId="0" applyFont="1"/>
    <xf numFmtId="168" fontId="12" fillId="0" borderId="0" xfId="0" applyNumberFormat="1" applyFont="1"/>
    <xf numFmtId="0" fontId="13" fillId="6" borderId="17" xfId="0" applyFont="1" applyFill="1" applyBorder="1"/>
    <xf numFmtId="0" fontId="12" fillId="6" borderId="17" xfId="0" applyFont="1" applyFill="1" applyBorder="1"/>
    <xf numFmtId="0" fontId="13" fillId="0" borderId="17" xfId="0" applyFont="1" applyBorder="1"/>
    <xf numFmtId="0" fontId="12" fillId="0" borderId="17" xfId="0" applyFont="1" applyBorder="1"/>
    <xf numFmtId="0" fontId="18" fillId="0" borderId="8" xfId="0" applyFont="1" applyBorder="1"/>
    <xf numFmtId="0" fontId="19" fillId="0" borderId="0" xfId="0" applyFont="1"/>
    <xf numFmtId="0" fontId="12" fillId="0" borderId="14" xfId="0" applyFont="1" applyBorder="1"/>
    <xf numFmtId="165" fontId="5" fillId="0" borderId="0" xfId="1" applyNumberFormat="1" applyFont="1"/>
    <xf numFmtId="0" fontId="18" fillId="11" borderId="0" xfId="0" applyFont="1" applyFill="1"/>
    <xf numFmtId="0" fontId="20" fillId="6" borderId="0" xfId="0" applyFont="1" applyFill="1"/>
    <xf numFmtId="164" fontId="20" fillId="6" borderId="0" xfId="0" applyNumberFormat="1" applyFont="1" applyFill="1"/>
    <xf numFmtId="0" fontId="5" fillId="11" borderId="0" xfId="0" applyFont="1" applyFill="1"/>
    <xf numFmtId="165" fontId="5" fillId="11" borderId="0" xfId="0" applyNumberFormat="1" applyFont="1" applyFill="1"/>
    <xf numFmtId="0" fontId="13" fillId="8" borderId="19" xfId="0" applyFont="1" applyFill="1" applyBorder="1"/>
    <xf numFmtId="0" fontId="12" fillId="8" borderId="19" xfId="0" applyFont="1" applyFill="1" applyBorder="1"/>
    <xf numFmtId="0" fontId="20" fillId="6" borderId="9" xfId="0" applyFont="1" applyFill="1" applyBorder="1"/>
    <xf numFmtId="164" fontId="20" fillId="6" borderId="9" xfId="0" applyNumberFormat="1" applyFont="1" applyFill="1" applyBorder="1"/>
    <xf numFmtId="0" fontId="20" fillId="6" borderId="17" xfId="0" applyFont="1" applyFill="1" applyBorder="1"/>
    <xf numFmtId="165" fontId="5" fillId="11" borderId="12" xfId="0" applyNumberFormat="1" applyFont="1" applyFill="1" applyBorder="1"/>
    <xf numFmtId="165" fontId="12" fillId="0" borderId="0" xfId="0" applyNumberFormat="1" applyFont="1"/>
    <xf numFmtId="165" fontId="12" fillId="0" borderId="0" xfId="1" applyNumberFormat="1" applyFont="1"/>
    <xf numFmtId="1" fontId="12" fillId="0" borderId="0" xfId="0" applyNumberFormat="1" applyFont="1"/>
    <xf numFmtId="0" fontId="21" fillId="0" borderId="0" xfId="0" applyFont="1"/>
    <xf numFmtId="3" fontId="21" fillId="9" borderId="0" xfId="0" applyNumberFormat="1" applyFont="1" applyFill="1"/>
    <xf numFmtId="0" fontId="11" fillId="3" borderId="0" xfId="0" applyFont="1" applyFill="1" applyBorder="1"/>
    <xf numFmtId="0" fontId="12" fillId="3" borderId="0" xfId="0" applyFont="1" applyFill="1" applyBorder="1"/>
    <xf numFmtId="0" fontId="11" fillId="3" borderId="0" xfId="0" applyFont="1" applyFill="1" applyBorder="1" applyAlignment="1">
      <alignment horizontal="center"/>
    </xf>
    <xf numFmtId="0" fontId="11" fillId="5" borderId="0" xfId="0" applyFont="1" applyFill="1" applyBorder="1" applyAlignment="1">
      <alignment horizontal="center"/>
    </xf>
    <xf numFmtId="0" fontId="18" fillId="2" borderId="23" xfId="0" applyFont="1" applyFill="1" applyBorder="1"/>
    <xf numFmtId="0" fontId="12" fillId="2" borderId="23" xfId="0" applyFont="1" applyFill="1" applyBorder="1"/>
    <xf numFmtId="165" fontId="12" fillId="0" borderId="8" xfId="0" applyNumberFormat="1" applyFont="1" applyBorder="1"/>
    <xf numFmtId="165" fontId="12" fillId="0" borderId="8" xfId="1" applyNumberFormat="1" applyFont="1" applyBorder="1"/>
    <xf numFmtId="168" fontId="12" fillId="0" borderId="8" xfId="0" applyNumberFormat="1" applyFont="1" applyBorder="1"/>
    <xf numFmtId="0" fontId="11" fillId="3" borderId="12" xfId="0" applyFont="1" applyFill="1" applyBorder="1" applyAlignment="1">
      <alignment horizontal="center"/>
    </xf>
    <xf numFmtId="0" fontId="12" fillId="2" borderId="24" xfId="0" applyFont="1" applyFill="1" applyBorder="1"/>
    <xf numFmtId="165" fontId="12" fillId="0" borderId="12" xfId="0" applyNumberFormat="1" applyFont="1" applyBorder="1"/>
    <xf numFmtId="165" fontId="12" fillId="0" borderId="14" xfId="0" applyNumberFormat="1" applyFont="1" applyBorder="1"/>
    <xf numFmtId="1" fontId="12" fillId="0" borderId="12" xfId="0" applyNumberFormat="1" applyFont="1" applyBorder="1"/>
    <xf numFmtId="168" fontId="12" fillId="0" borderId="12" xfId="0" applyNumberFormat="1" applyFont="1" applyBorder="1"/>
    <xf numFmtId="168" fontId="12" fillId="0" borderId="14" xfId="0" applyNumberFormat="1" applyFont="1" applyBorder="1"/>
    <xf numFmtId="165" fontId="13" fillId="0" borderId="12" xfId="0" applyNumberFormat="1" applyFont="1" applyBorder="1"/>
    <xf numFmtId="165" fontId="13" fillId="0" borderId="0" xfId="0" applyNumberFormat="1" applyFont="1"/>
    <xf numFmtId="165" fontId="18" fillId="0" borderId="12" xfId="0" applyNumberFormat="1" applyFont="1" applyBorder="1"/>
    <xf numFmtId="0" fontId="18" fillId="0" borderId="12" xfId="0" applyFont="1" applyBorder="1"/>
    <xf numFmtId="165" fontId="18" fillId="0" borderId="0" xfId="0" applyNumberFormat="1" applyFont="1"/>
    <xf numFmtId="0" fontId="18" fillId="0" borderId="14" xfId="0" applyFont="1" applyBorder="1"/>
    <xf numFmtId="0" fontId="13" fillId="2" borderId="0" xfId="0" applyFont="1" applyFill="1"/>
    <xf numFmtId="0" fontId="13" fillId="2" borderId="0" xfId="0" applyFont="1" applyFill="1" applyAlignment="1">
      <alignment horizontal="center"/>
    </xf>
    <xf numFmtId="164" fontId="9" fillId="0" borderId="0" xfId="0" applyNumberFormat="1" applyFont="1"/>
    <xf numFmtId="164" fontId="21" fillId="0" borderId="0" xfId="0" applyNumberFormat="1" applyFont="1"/>
    <xf numFmtId="165" fontId="21" fillId="0" borderId="0" xfId="0" applyNumberFormat="1" applyFont="1"/>
    <xf numFmtId="0" fontId="22" fillId="0" borderId="0" xfId="0" applyFont="1"/>
    <xf numFmtId="0" fontId="9" fillId="0" borderId="0" xfId="0" applyFont="1"/>
    <xf numFmtId="165" fontId="23" fillId="0" borderId="0" xfId="0" applyNumberFormat="1" applyFont="1"/>
    <xf numFmtId="1" fontId="21" fillId="0" borderId="0" xfId="0" applyNumberFormat="1" applyFont="1"/>
    <xf numFmtId="0" fontId="20" fillId="2" borderId="0" xfId="0" applyFont="1" applyFill="1"/>
    <xf numFmtId="0" fontId="20" fillId="2" borderId="0" xfId="0" applyFont="1" applyFill="1" applyAlignment="1">
      <alignment horizontal="center"/>
    </xf>
    <xf numFmtId="0" fontId="9" fillId="11" borderId="0" xfId="0" applyFont="1" applyFill="1"/>
    <xf numFmtId="0" fontId="12" fillId="14" borderId="0" xfId="0" applyFont="1" applyFill="1"/>
    <xf numFmtId="165" fontId="9" fillId="11" borderId="0" xfId="0" applyNumberFormat="1" applyFont="1" applyFill="1"/>
    <xf numFmtId="165" fontId="21" fillId="11" borderId="0" xfId="0" applyNumberFormat="1" applyFont="1" applyFill="1"/>
    <xf numFmtId="165" fontId="9" fillId="14" borderId="0" xfId="0" applyNumberFormat="1" applyFont="1" applyFill="1"/>
    <xf numFmtId="0" fontId="21" fillId="11" borderId="0" xfId="0" applyFont="1" applyFill="1" applyAlignment="1">
      <alignment horizontal="center"/>
    </xf>
    <xf numFmtId="0" fontId="24" fillId="11" borderId="0" xfId="0" applyFont="1" applyFill="1"/>
    <xf numFmtId="0" fontId="26" fillId="0" borderId="0" xfId="0" applyFont="1"/>
    <xf numFmtId="0" fontId="27" fillId="0" borderId="0" xfId="0" applyFont="1"/>
    <xf numFmtId="0" fontId="11" fillId="3" borderId="22" xfId="0" applyFont="1" applyFill="1" applyBorder="1"/>
    <xf numFmtId="0" fontId="12" fillId="3" borderId="22" xfId="0" applyFont="1" applyFill="1" applyBorder="1"/>
    <xf numFmtId="0" fontId="11" fillId="3" borderId="25" xfId="0" applyFont="1" applyFill="1" applyBorder="1"/>
    <xf numFmtId="0" fontId="12" fillId="3" borderId="25" xfId="0" applyFont="1" applyFill="1" applyBorder="1"/>
    <xf numFmtId="0" fontId="25" fillId="3" borderId="25" xfId="0" applyFont="1" applyFill="1" applyBorder="1"/>
    <xf numFmtId="0" fontId="19" fillId="3" borderId="25" xfId="0" applyFont="1" applyFill="1" applyBorder="1"/>
    <xf numFmtId="0" fontId="19" fillId="0" borderId="25" xfId="0" applyFont="1" applyBorder="1"/>
    <xf numFmtId="0" fontId="13" fillId="2" borderId="26" xfId="0" applyFont="1" applyFill="1" applyBorder="1"/>
    <xf numFmtId="0" fontId="13" fillId="2" borderId="26" xfId="0" applyFont="1" applyFill="1" applyBorder="1" applyAlignment="1">
      <alignment horizontal="center"/>
    </xf>
    <xf numFmtId="0" fontId="13" fillId="4" borderId="26" xfId="0" applyFont="1" applyFill="1" applyBorder="1" applyAlignment="1">
      <alignment horizontal="center"/>
    </xf>
    <xf numFmtId="0" fontId="20" fillId="4" borderId="26" xfId="0" applyFont="1" applyFill="1" applyBorder="1" applyAlignment="1">
      <alignment horizontal="center"/>
    </xf>
    <xf numFmtId="0" fontId="20" fillId="2" borderId="26" xfId="0" applyFont="1" applyFill="1" applyBorder="1"/>
    <xf numFmtId="0" fontId="20" fillId="2" borderId="26" xfId="0" applyFont="1" applyFill="1" applyBorder="1" applyAlignment="1">
      <alignment horizontal="center"/>
    </xf>
    <xf numFmtId="164" fontId="12" fillId="0" borderId="8" xfId="0" applyNumberFormat="1" applyFont="1" applyBorder="1"/>
    <xf numFmtId="164" fontId="21" fillId="0" borderId="8" xfId="0" applyNumberFormat="1" applyFont="1" applyBorder="1"/>
    <xf numFmtId="165" fontId="13" fillId="0" borderId="8" xfId="0" applyNumberFormat="1" applyFont="1" applyBorder="1"/>
    <xf numFmtId="165" fontId="23" fillId="0" borderId="8" xfId="0" applyNumberFormat="1" applyFont="1" applyBorder="1"/>
    <xf numFmtId="165" fontId="21" fillId="0" borderId="8" xfId="0" applyNumberFormat="1" applyFont="1" applyBorder="1"/>
    <xf numFmtId="166" fontId="12" fillId="0" borderId="8" xfId="0" applyNumberFormat="1" applyFont="1" applyBorder="1"/>
    <xf numFmtId="166" fontId="21" fillId="0" borderId="8" xfId="0" applyNumberFormat="1" applyFont="1" applyBorder="1"/>
    <xf numFmtId="0" fontId="9" fillId="11" borderId="8" xfId="0" applyFont="1" applyFill="1" applyBorder="1"/>
    <xf numFmtId="165" fontId="9" fillId="11" borderId="8" xfId="0" applyNumberFormat="1" applyFont="1" applyFill="1" applyBorder="1"/>
    <xf numFmtId="165" fontId="21" fillId="11" borderId="8" xfId="0" applyNumberFormat="1" applyFont="1" applyFill="1" applyBorder="1"/>
    <xf numFmtId="0" fontId="12" fillId="15" borderId="17" xfId="0" applyFont="1" applyFill="1" applyBorder="1"/>
    <xf numFmtId="165" fontId="20" fillId="6" borderId="17" xfId="0" applyNumberFormat="1" applyFont="1" applyFill="1" applyBorder="1"/>
    <xf numFmtId="165" fontId="23" fillId="6" borderId="17" xfId="0" applyNumberFormat="1" applyFont="1" applyFill="1" applyBorder="1"/>
    <xf numFmtId="0" fontId="13" fillId="2" borderId="27" xfId="0" applyFont="1" applyFill="1" applyBorder="1" applyAlignment="1">
      <alignment horizontal="center"/>
    </xf>
    <xf numFmtId="164" fontId="12" fillId="0" borderId="14" xfId="0" applyNumberFormat="1" applyFont="1" applyBorder="1"/>
    <xf numFmtId="0" fontId="12" fillId="3" borderId="28" xfId="0" applyFont="1" applyFill="1" applyBorder="1"/>
    <xf numFmtId="165" fontId="13" fillId="0" borderId="14" xfId="0" applyNumberFormat="1" applyFont="1" applyBorder="1"/>
    <xf numFmtId="166" fontId="12" fillId="0" borderId="14" xfId="0" applyNumberFormat="1" applyFont="1" applyBorder="1"/>
    <xf numFmtId="0" fontId="20" fillId="2" borderId="27" xfId="0" applyFont="1" applyFill="1" applyBorder="1" applyAlignment="1">
      <alignment horizontal="center"/>
    </xf>
    <xf numFmtId="165" fontId="9" fillId="11" borderId="12" xfId="0" applyNumberFormat="1" applyFont="1" applyFill="1" applyBorder="1"/>
    <xf numFmtId="165" fontId="20" fillId="6" borderId="18" xfId="0" applyNumberFormat="1" applyFont="1" applyFill="1" applyBorder="1"/>
    <xf numFmtId="0" fontId="12" fillId="14" borderId="12" xfId="0" applyFont="1" applyFill="1" applyBorder="1"/>
    <xf numFmtId="165" fontId="9" fillId="11" borderId="14" xfId="0" applyNumberFormat="1" applyFont="1" applyFill="1" applyBorder="1"/>
    <xf numFmtId="0" fontId="16" fillId="0" borderId="0" xfId="0" applyFont="1"/>
    <xf numFmtId="10" fontId="9" fillId="0" borderId="0" xfId="0" applyNumberFormat="1" applyFont="1"/>
    <xf numFmtId="0" fontId="24" fillId="0" borderId="0" xfId="0" applyFont="1"/>
    <xf numFmtId="169" fontId="9" fillId="0" borderId="0" xfId="0" applyNumberFormat="1" applyFont="1"/>
    <xf numFmtId="0" fontId="20" fillId="14" borderId="0" xfId="0" applyFont="1" applyFill="1"/>
    <xf numFmtId="164" fontId="20" fillId="14" borderId="0" xfId="0" applyNumberFormat="1" applyFont="1" applyFill="1"/>
    <xf numFmtId="0" fontId="20" fillId="11" borderId="0" xfId="0" applyFont="1" applyFill="1"/>
    <xf numFmtId="164" fontId="20" fillId="11" borderId="0" xfId="0" applyNumberFormat="1" applyFont="1" applyFill="1"/>
    <xf numFmtId="169" fontId="9" fillId="11" borderId="0" xfId="0" applyNumberFormat="1" applyFont="1" applyFill="1"/>
    <xf numFmtId="0" fontId="5" fillId="10" borderId="0" xfId="0" applyFont="1" applyFill="1"/>
    <xf numFmtId="0" fontId="21" fillId="11" borderId="0" xfId="0" applyFont="1" applyFill="1"/>
    <xf numFmtId="3" fontId="21" fillId="11" borderId="0" xfId="0" applyNumberFormat="1" applyFont="1" applyFill="1"/>
    <xf numFmtId="3" fontId="13" fillId="16" borderId="0" xfId="0" applyNumberFormat="1" applyFont="1" applyFill="1"/>
    <xf numFmtId="165" fontId="20" fillId="2" borderId="3" xfId="0" applyNumberFormat="1" applyFont="1" applyFill="1" applyBorder="1" applyAlignment="1">
      <alignment horizontal="center"/>
    </xf>
    <xf numFmtId="165" fontId="20" fillId="2" borderId="3" xfId="0" applyNumberFormat="1" applyFont="1" applyFill="1" applyBorder="1"/>
    <xf numFmtId="3" fontId="9" fillId="11" borderId="3" xfId="0" applyNumberFormat="1" applyFont="1" applyFill="1" applyBorder="1" applyAlignment="1">
      <alignment horizontal="center"/>
    </xf>
    <xf numFmtId="3" fontId="20" fillId="10" borderId="3" xfId="0" applyNumberFormat="1" applyFont="1" applyFill="1" applyBorder="1" applyAlignment="1">
      <alignment horizontal="center"/>
    </xf>
    <xf numFmtId="10" fontId="21" fillId="0" borderId="0" xfId="0" applyNumberFormat="1" applyFont="1"/>
    <xf numFmtId="2" fontId="21" fillId="0" borderId="0" xfId="0" applyNumberFormat="1" applyFont="1"/>
    <xf numFmtId="3" fontId="21" fillId="0" borderId="0" xfId="0" applyNumberFormat="1" applyFont="1"/>
    <xf numFmtId="164" fontId="28" fillId="0" borderId="0" xfId="0" applyNumberFormat="1" applyFont="1"/>
    <xf numFmtId="2" fontId="9" fillId="0" borderId="0" xfId="0" applyNumberFormat="1" applyFont="1"/>
    <xf numFmtId="10" fontId="20" fillId="0" borderId="0" xfId="0" applyNumberFormat="1" applyFont="1"/>
    <xf numFmtId="0" fontId="12" fillId="0" borderId="1" xfId="0" applyFont="1" applyBorder="1"/>
    <xf numFmtId="3" fontId="12" fillId="0" borderId="1" xfId="0" applyNumberFormat="1" applyFont="1" applyBorder="1"/>
    <xf numFmtId="167" fontId="12" fillId="0" borderId="1" xfId="0" applyNumberFormat="1" applyFont="1" applyBorder="1"/>
    <xf numFmtId="0" fontId="13" fillId="6" borderId="1" xfId="0" applyFont="1" applyFill="1" applyBorder="1"/>
    <xf numFmtId="167" fontId="13" fillId="6" borderId="1" xfId="0" applyNumberFormat="1" applyFont="1" applyFill="1" applyBorder="1"/>
    <xf numFmtId="0" fontId="13" fillId="0" borderId="1" xfId="0" applyFont="1" applyBorder="1"/>
    <xf numFmtId="3" fontId="13" fillId="10" borderId="1" xfId="0" applyNumberFormat="1" applyFont="1" applyFill="1" applyBorder="1"/>
    <xf numFmtId="0" fontId="5" fillId="0" borderId="1" xfId="0" applyFont="1" applyBorder="1"/>
    <xf numFmtId="0" fontId="13" fillId="0" borderId="2" xfId="0" applyFont="1" applyBorder="1"/>
    <xf numFmtId="3" fontId="29" fillId="0" borderId="2" xfId="0" applyNumberFormat="1" applyFont="1" applyBorder="1"/>
    <xf numFmtId="0" fontId="5" fillId="0" borderId="2" xfId="0" applyFont="1" applyBorder="1"/>
    <xf numFmtId="0" fontId="20" fillId="12" borderId="0" xfId="0" applyFont="1" applyFill="1"/>
    <xf numFmtId="165" fontId="20" fillId="12" borderId="0" xfId="0" applyNumberFormat="1" applyFont="1" applyFill="1"/>
    <xf numFmtId="0" fontId="5" fillId="12" borderId="0" xfId="0" applyFont="1" applyFill="1"/>
    <xf numFmtId="0" fontId="9" fillId="11" borderId="1" xfId="0" applyFont="1" applyFill="1" applyBorder="1"/>
    <xf numFmtId="3" fontId="20" fillId="11" borderId="1" xfId="0" applyNumberFormat="1" applyFont="1" applyFill="1" applyBorder="1"/>
    <xf numFmtId="9" fontId="23" fillId="11" borderId="1" xfId="0" applyNumberFormat="1" applyFont="1" applyFill="1" applyBorder="1" applyAlignment="1">
      <alignment horizontal="center"/>
    </xf>
    <xf numFmtId="0" fontId="20" fillId="6" borderId="1" xfId="0" applyFont="1" applyFill="1" applyBorder="1"/>
    <xf numFmtId="3" fontId="20" fillId="6" borderId="1" xfId="0" applyNumberFormat="1" applyFont="1" applyFill="1" applyBorder="1"/>
    <xf numFmtId="3" fontId="20" fillId="10" borderId="4" xfId="0" applyNumberFormat="1" applyFont="1" applyFill="1" applyBorder="1"/>
    <xf numFmtId="0" fontId="5" fillId="0" borderId="4" xfId="0" applyFont="1" applyBorder="1"/>
    <xf numFmtId="0" fontId="5" fillId="0" borderId="5" xfId="0" applyFont="1" applyBorder="1"/>
    <xf numFmtId="3" fontId="20" fillId="2" borderId="0" xfId="0" applyNumberFormat="1" applyFont="1" applyFill="1"/>
    <xf numFmtId="3" fontId="29" fillId="2" borderId="0" xfId="0" applyNumberFormat="1" applyFont="1" applyFill="1"/>
    <xf numFmtId="0" fontId="5" fillId="2" borderId="0" xfId="0" applyFont="1" applyFill="1"/>
    <xf numFmtId="0" fontId="11" fillId="13" borderId="0" xfId="0" applyFont="1" applyFill="1" applyAlignment="1">
      <alignment horizontal="center" vertical="center"/>
    </xf>
    <xf numFmtId="0" fontId="6" fillId="0" borderId="0" xfId="0" applyFont="1" applyAlignment="1">
      <alignment wrapText="1"/>
    </xf>
    <xf numFmtId="0" fontId="12" fillId="0" borderId="22" xfId="0" applyFont="1" applyBorder="1"/>
    <xf numFmtId="0" fontId="12" fillId="0" borderId="25" xfId="0" applyFont="1" applyBorder="1"/>
    <xf numFmtId="0" fontId="20" fillId="2" borderId="29" xfId="0" applyFont="1" applyFill="1" applyBorder="1"/>
    <xf numFmtId="165" fontId="20" fillId="2" borderId="30" xfId="0" applyNumberFormat="1" applyFont="1" applyFill="1" applyBorder="1"/>
    <xf numFmtId="3" fontId="9" fillId="11" borderId="30" xfId="0" applyNumberFormat="1" applyFont="1" applyFill="1" applyBorder="1" applyAlignment="1">
      <alignment horizontal="center"/>
    </xf>
    <xf numFmtId="0" fontId="13" fillId="2" borderId="31" xfId="0" applyFont="1" applyFill="1" applyBorder="1"/>
    <xf numFmtId="0" fontId="13" fillId="2" borderId="31" xfId="0" applyFont="1" applyFill="1" applyBorder="1" applyAlignment="1">
      <alignment horizontal="center"/>
    </xf>
    <xf numFmtId="0" fontId="20" fillId="2" borderId="31" xfId="0" applyFont="1" applyFill="1" applyBorder="1"/>
    <xf numFmtId="0" fontId="20" fillId="2" borderId="31" xfId="0" applyNumberFormat="1" applyFont="1" applyFill="1" applyBorder="1" applyAlignment="1">
      <alignment horizontal="center"/>
    </xf>
    <xf numFmtId="0" fontId="30" fillId="2" borderId="31" xfId="0" applyFont="1" applyFill="1" applyBorder="1" applyAlignment="1">
      <alignment horizontal="center"/>
    </xf>
    <xf numFmtId="0" fontId="20" fillId="3" borderId="25" xfId="0" applyNumberFormat="1" applyFont="1" applyFill="1" applyBorder="1"/>
    <xf numFmtId="0" fontId="5" fillId="3" borderId="25" xfId="0" applyFont="1" applyFill="1" applyBorder="1"/>
    <xf numFmtId="3" fontId="29" fillId="3" borderId="25" xfId="0" applyNumberFormat="1" applyFont="1" applyFill="1" applyBorder="1"/>
    <xf numFmtId="0" fontId="8" fillId="10" borderId="11" xfId="0" applyFont="1" applyFill="1" applyBorder="1"/>
    <xf numFmtId="3" fontId="8" fillId="10" borderId="11" xfId="0" applyNumberFormat="1" applyFont="1" applyFill="1" applyBorder="1"/>
    <xf numFmtId="0" fontId="20" fillId="14" borderId="9" xfId="0" applyFont="1" applyFill="1" applyBorder="1"/>
    <xf numFmtId="164" fontId="20" fillId="14" borderId="9" xfId="0" applyNumberFormat="1" applyFont="1" applyFill="1" applyBorder="1"/>
    <xf numFmtId="0" fontId="20" fillId="14" borderId="8" xfId="0" applyFont="1" applyFill="1" applyBorder="1"/>
    <xf numFmtId="164" fontId="20" fillId="14" borderId="8" xfId="0" applyNumberFormat="1" applyFont="1" applyFill="1" applyBorder="1"/>
    <xf numFmtId="0" fontId="20" fillId="6" borderId="8" xfId="0" applyFont="1" applyFill="1" applyBorder="1"/>
    <xf numFmtId="164" fontId="20" fillId="6" borderId="8" xfId="0" applyNumberFormat="1" applyFont="1" applyFill="1" applyBorder="1"/>
    <xf numFmtId="0" fontId="11" fillId="3" borderId="32" xfId="0" applyFont="1" applyFill="1" applyBorder="1"/>
    <xf numFmtId="0" fontId="12" fillId="3" borderId="32" xfId="0" applyFont="1" applyFill="1" applyBorder="1"/>
    <xf numFmtId="0" fontId="13" fillId="10" borderId="11" xfId="0" applyFont="1" applyFill="1" applyBorder="1"/>
    <xf numFmtId="10" fontId="13" fillId="10" borderId="11" xfId="0" applyNumberFormat="1" applyFont="1" applyFill="1" applyBorder="1"/>
    <xf numFmtId="3" fontId="29" fillId="11" borderId="6" xfId="0" applyNumberFormat="1" applyFont="1" applyFill="1" applyBorder="1"/>
    <xf numFmtId="0" fontId="8" fillId="10" borderId="33" xfId="0" applyFont="1" applyFill="1" applyBorder="1"/>
    <xf numFmtId="172" fontId="12" fillId="0" borderId="0" xfId="0" applyNumberFormat="1" applyFont="1"/>
    <xf numFmtId="172" fontId="12" fillId="0" borderId="12" xfId="0" applyNumberFormat="1" applyFont="1" applyBorder="1"/>
    <xf numFmtId="172" fontId="13" fillId="6" borderId="8" xfId="0" applyNumberFormat="1" applyFont="1" applyFill="1" applyBorder="1"/>
    <xf numFmtId="172" fontId="13" fillId="6" borderId="14" xfId="0" applyNumberFormat="1" applyFont="1" applyFill="1" applyBorder="1"/>
    <xf numFmtId="172" fontId="12" fillId="7" borderId="8" xfId="0" applyNumberFormat="1" applyFont="1" applyFill="1" applyBorder="1"/>
    <xf numFmtId="172" fontId="12" fillId="7" borderId="14" xfId="0" applyNumberFormat="1" applyFont="1" applyFill="1" applyBorder="1"/>
    <xf numFmtId="172" fontId="13" fillId="6" borderId="0" xfId="0" applyNumberFormat="1" applyFont="1" applyFill="1"/>
    <xf numFmtId="172" fontId="13" fillId="6" borderId="12" xfId="0" applyNumberFormat="1" applyFont="1" applyFill="1" applyBorder="1"/>
    <xf numFmtId="172" fontId="13" fillId="6" borderId="9" xfId="0" applyNumberFormat="1" applyFont="1" applyFill="1" applyBorder="1"/>
    <xf numFmtId="172" fontId="13" fillId="6" borderId="15" xfId="0" applyNumberFormat="1" applyFont="1" applyFill="1" applyBorder="1"/>
    <xf numFmtId="172" fontId="13" fillId="8" borderId="11" xfId="0" applyNumberFormat="1" applyFont="1" applyFill="1" applyBorder="1"/>
    <xf numFmtId="172" fontId="13" fillId="8" borderId="16" xfId="0" applyNumberFormat="1" applyFont="1" applyFill="1" applyBorder="1"/>
    <xf numFmtId="172" fontId="13" fillId="6" borderId="17" xfId="0" applyNumberFormat="1" applyFont="1" applyFill="1" applyBorder="1"/>
    <xf numFmtId="172" fontId="13" fillId="6" borderId="18" xfId="0" applyNumberFormat="1" applyFont="1" applyFill="1" applyBorder="1"/>
    <xf numFmtId="172" fontId="13" fillId="0" borderId="17" xfId="0" applyNumberFormat="1" applyFont="1" applyBorder="1"/>
    <xf numFmtId="172" fontId="13" fillId="0" borderId="18" xfId="0" applyNumberFormat="1" applyFont="1" applyBorder="1"/>
    <xf numFmtId="172" fontId="12" fillId="0" borderId="17" xfId="0" applyNumberFormat="1" applyFont="1" applyBorder="1"/>
    <xf numFmtId="172" fontId="13" fillId="8" borderId="10" xfId="0" applyNumberFormat="1" applyFont="1" applyFill="1" applyBorder="1"/>
    <xf numFmtId="172" fontId="13" fillId="8" borderId="20" xfId="0" applyNumberFormat="1" applyFont="1" applyFill="1" applyBorder="1"/>
    <xf numFmtId="172" fontId="13" fillId="8" borderId="0" xfId="0" applyNumberFormat="1" applyFont="1" applyFill="1"/>
    <xf numFmtId="172" fontId="13" fillId="8" borderId="12" xfId="0" applyNumberFormat="1" applyFont="1" applyFill="1" applyBorder="1"/>
    <xf numFmtId="172" fontId="13" fillId="8" borderId="19" xfId="0" applyNumberFormat="1" applyFont="1" applyFill="1" applyBorder="1"/>
    <xf numFmtId="172" fontId="13" fillId="8" borderId="21" xfId="0" applyNumberFormat="1" applyFont="1" applyFill="1" applyBorder="1"/>
    <xf numFmtId="172" fontId="20" fillId="6" borderId="17" xfId="0" applyNumberFormat="1" applyFont="1" applyFill="1" applyBorder="1"/>
    <xf numFmtId="172" fontId="20" fillId="6" borderId="18" xfId="0" applyNumberFormat="1" applyFont="1" applyFill="1" applyBorder="1"/>
    <xf numFmtId="173" fontId="6" fillId="0" borderId="0" xfId="0" applyNumberFormat="1" applyFont="1"/>
    <xf numFmtId="173" fontId="6" fillId="0" borderId="12" xfId="0" applyNumberFormat="1" applyFont="1" applyBorder="1"/>
    <xf numFmtId="3" fontId="1" fillId="10" borderId="33" xfId="0" applyNumberFormat="1" applyFont="1" applyFill="1" applyBorder="1"/>
    <xf numFmtId="0" fontId="31" fillId="11" borderId="0" xfId="0" applyFont="1" applyFill="1" applyAlignment="1">
      <alignment wrapText="1"/>
    </xf>
    <xf numFmtId="0" fontId="20" fillId="6" borderId="0" xfId="0" applyFont="1" applyFill="1" applyBorder="1"/>
    <xf numFmtId="165" fontId="20" fillId="6" borderId="0" xfId="0" applyNumberFormat="1" applyFont="1" applyFill="1" applyBorder="1"/>
    <xf numFmtId="0" fontId="5" fillId="0" borderId="0" xfId="0" applyFont="1" applyBorder="1"/>
    <xf numFmtId="0" fontId="12" fillId="0" borderId="0" xfId="0" applyFont="1" applyBorder="1"/>
    <xf numFmtId="0" fontId="29" fillId="11" borderId="34" xfId="0" applyFont="1" applyFill="1" applyBorder="1"/>
    <xf numFmtId="0" fontId="12" fillId="0" borderId="6" xfId="0" applyFont="1" applyBorder="1"/>
    <xf numFmtId="1" fontId="9" fillId="0" borderId="0" xfId="0" applyNumberFormat="1" applyFont="1"/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colors>
    <mruColors>
      <color rgb="FFC6EFCE"/>
      <color rgb="FFF2F2F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microsoft.com/office/2017/10/relationships/person" Target="persons/person1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microsoft.com/office/2017/10/relationships/person" Target="persons/person0.xml"/><Relationship Id="rId2" Type="http://schemas.openxmlformats.org/officeDocument/2006/relationships/worksheet" Target="worksheets/sheet2.xml"/><Relationship Id="rId16" Type="http://schemas.microsoft.com/office/2017/10/relationships/person" Target="persons/perso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5" Type="http://schemas.microsoft.com/office/2017/10/relationships/person" Target="persons/person2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Relationship Id="rId14" Type="http://schemas.microsoft.com/office/2017/10/relationships/person" Target="persons/person3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persons/person0.xml><?xml version="1.0" encoding="utf-8"?>
<personList xmlns="http://schemas.microsoft.com/office/spreadsheetml/2018/threadedcomments" xmlns:x="http://schemas.openxmlformats.org/spreadsheetml/2006/main"/>
</file>

<file path=xl/persons/person1.xml><?xml version="1.0" encoding="utf-8"?>
<personList xmlns="http://schemas.microsoft.com/office/spreadsheetml/2018/threadedcomments" xmlns:x="http://schemas.openxmlformats.org/spreadsheetml/2006/main"/>
</file>

<file path=xl/persons/person2.xml><?xml version="1.0" encoding="utf-8"?>
<personList xmlns="http://schemas.microsoft.com/office/spreadsheetml/2018/threadedcomments" xmlns:x="http://schemas.openxmlformats.org/spreadsheetml/2006/main"/>
</file>

<file path=xl/persons/person3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496" row="3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18864AC5-1B42-4BA0-A15B-890BDEF6BA50}">
  <we:reference id="wa200009404" version="1.0.0.5" store="en-US" storeType="OMEX"/>
  <we:alternateReferences>
    <we:reference id="wa200009404" version="1.0.0.5" store="wa200009404" storeType="OMEX"/>
  </we:alternateReferences>
  <we:properties>
    <we:property name="Office.AutoShowTaskpaneWithDocument" value="true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2FD414-9836-44FB-B4AA-6065B53BC70B}">
  <sheetPr>
    <tabColor rgb="FF1F4E79"/>
  </sheetPr>
  <dimension ref="A1:P77"/>
  <sheetViews>
    <sheetView showGridLines="0" workbookViewId="0">
      <pane xSplit="1" ySplit="5" topLeftCell="B13" activePane="bottomRight" state="frozen"/>
      <selection pane="topRight" activeCell="B1" sqref="B1"/>
      <selection pane="bottomLeft" activeCell="A6" sqref="A6"/>
      <selection pane="bottomRight"/>
    </sheetView>
  </sheetViews>
  <sheetFormatPr defaultRowHeight="14.4" x14ac:dyDescent="0.3"/>
  <cols>
    <col min="1" max="1" width="44.44140625" customWidth="1"/>
    <col min="2" max="16" width="13.33203125" customWidth="1"/>
  </cols>
  <sheetData>
    <row r="1" spans="1:16" ht="17.399999999999999" x14ac:dyDescent="0.35">
      <c r="A1" s="2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</row>
    <row r="2" spans="1:16" x14ac:dyDescent="0.3">
      <c r="A2" s="22" t="s">
        <v>1</v>
      </c>
    </row>
    <row r="3" spans="1:16" ht="15" thickBot="1" x14ac:dyDescent="0.35"/>
    <row r="4" spans="1:16" x14ac:dyDescent="0.3">
      <c r="A4" s="117" t="s">
        <v>2</v>
      </c>
      <c r="B4" s="118"/>
      <c r="C4" s="118"/>
      <c r="D4" s="118"/>
      <c r="E4" s="118"/>
      <c r="F4" s="118"/>
      <c r="G4" s="118"/>
      <c r="H4" s="118"/>
      <c r="I4" s="118"/>
      <c r="J4" s="118"/>
      <c r="K4" s="118"/>
      <c r="L4" s="118"/>
      <c r="M4" s="118"/>
      <c r="N4" s="118"/>
      <c r="O4" s="118"/>
      <c r="P4" s="118"/>
    </row>
    <row r="5" spans="1:16" ht="15" thickBot="1" x14ac:dyDescent="0.35">
      <c r="A5" s="124" t="s">
        <v>3</v>
      </c>
      <c r="B5" s="125" t="s">
        <v>4</v>
      </c>
      <c r="C5" s="125" t="s">
        <v>5</v>
      </c>
      <c r="D5" s="125" t="s">
        <v>6</v>
      </c>
      <c r="E5" s="125" t="s">
        <v>7</v>
      </c>
      <c r="F5" s="143" t="s">
        <v>8</v>
      </c>
      <c r="G5" s="126" t="s">
        <v>9</v>
      </c>
      <c r="H5" s="126" t="s">
        <v>10</v>
      </c>
      <c r="I5" s="126" t="s">
        <v>11</v>
      </c>
      <c r="J5" s="126" t="s">
        <v>12</v>
      </c>
      <c r="K5" s="126" t="s">
        <v>13</v>
      </c>
      <c r="L5" s="127" t="s">
        <v>240</v>
      </c>
      <c r="M5" s="127" t="s">
        <v>241</v>
      </c>
      <c r="N5" s="127" t="s">
        <v>242</v>
      </c>
      <c r="O5" s="127" t="s">
        <v>243</v>
      </c>
      <c r="P5" s="127" t="s">
        <v>244</v>
      </c>
    </row>
    <row r="6" spans="1:16" x14ac:dyDescent="0.3">
      <c r="A6" s="9" t="s">
        <v>14</v>
      </c>
      <c r="B6" s="99">
        <v>91.2</v>
      </c>
      <c r="C6" s="11">
        <v>184</v>
      </c>
      <c r="D6" s="11">
        <v>227.1</v>
      </c>
      <c r="E6" s="11">
        <v>297.10000000000002</v>
      </c>
      <c r="F6" s="41">
        <v>368.8</v>
      </c>
      <c r="G6" s="100">
        <f t="shared" ref="G6:K6" si="0">SUM(G10:G15)</f>
        <v>400.00000000041001</v>
      </c>
      <c r="H6" s="100">
        <f t="shared" si="0"/>
        <v>540.19999999495428</v>
      </c>
      <c r="I6" s="100">
        <f t="shared" si="0"/>
        <v>710.81600000215474</v>
      </c>
      <c r="J6" s="100">
        <f t="shared" si="0"/>
        <v>906.88128000098311</v>
      </c>
      <c r="K6" s="100">
        <f t="shared" si="0"/>
        <v>1111.5003620969901</v>
      </c>
      <c r="L6" s="73">
        <f>SUM(L10:L15)</f>
        <v>1336.5303983065644</v>
      </c>
      <c r="M6" s="73">
        <f>SUM(M10:M15)</f>
        <v>1577.2640301709494</v>
      </c>
      <c r="N6" s="73">
        <f>SUM(N10:N15)</f>
        <v>1834.6841545847537</v>
      </c>
      <c r="O6" s="73">
        <f>SUM(O10:O15)</f>
        <v>2108.7547173057346</v>
      </c>
      <c r="P6" s="73">
        <f>SUM(P10:P15)</f>
        <v>2395.424379927249</v>
      </c>
    </row>
    <row r="7" spans="1:16" x14ac:dyDescent="0.3">
      <c r="A7" s="10" t="s">
        <v>15</v>
      </c>
      <c r="B7" s="70">
        <v>0.28000000000000003</v>
      </c>
      <c r="C7" s="70">
        <v>0.57999999999999996</v>
      </c>
      <c r="D7" s="70">
        <v>0.23400000000000001</v>
      </c>
      <c r="E7" s="70">
        <v>0.308</v>
      </c>
      <c r="F7" s="86">
        <v>0.24099999999999999</v>
      </c>
      <c r="G7" s="101">
        <f t="shared" ref="G7:P7" si="1">(G6-F6)/F6</f>
        <v>8.459869848267354E-2</v>
      </c>
      <c r="H7" s="101">
        <f t="shared" si="1"/>
        <v>0.3504999999860014</v>
      </c>
      <c r="I7" s="101">
        <f t="shared" si="1"/>
        <v>0.31583857832061102</v>
      </c>
      <c r="J7" s="101">
        <f t="shared" si="1"/>
        <v>0.27583126997455604</v>
      </c>
      <c r="K7" s="101">
        <f t="shared" si="1"/>
        <v>0.22562940332805764</v>
      </c>
      <c r="L7" s="101">
        <f t="shared" si="1"/>
        <v>0.20245610697330393</v>
      </c>
      <c r="M7" s="101">
        <f t="shared" si="1"/>
        <v>0.18011833638008068</v>
      </c>
      <c r="N7" s="101">
        <f t="shared" si="1"/>
        <v>0.16320674249187328</v>
      </c>
      <c r="O7" s="101">
        <f t="shared" si="1"/>
        <v>0.14938296710967758</v>
      </c>
      <c r="P7" s="101">
        <f t="shared" si="1"/>
        <v>0.13594263015462504</v>
      </c>
    </row>
    <row r="8" spans="1:16" x14ac:dyDescent="0.3">
      <c r="A8" s="10"/>
      <c r="B8" s="10"/>
      <c r="C8" s="10"/>
      <c r="D8" s="10"/>
      <c r="E8" s="10"/>
      <c r="F8" s="43"/>
      <c r="G8" s="10"/>
      <c r="H8" s="10"/>
      <c r="I8" s="10"/>
      <c r="J8" s="10"/>
      <c r="K8" s="10"/>
      <c r="L8" s="10"/>
      <c r="M8" s="10"/>
      <c r="N8" s="10"/>
      <c r="O8" s="10"/>
      <c r="P8" s="10"/>
    </row>
    <row r="9" spans="1:16" x14ac:dyDescent="0.3">
      <c r="A9" s="102" t="s">
        <v>16</v>
      </c>
      <c r="B9" s="10"/>
      <c r="C9" s="10"/>
      <c r="D9" s="10"/>
      <c r="E9" s="10"/>
      <c r="F9" s="43"/>
      <c r="G9" s="10"/>
      <c r="H9" s="10"/>
      <c r="I9" s="10"/>
      <c r="J9" s="10"/>
      <c r="K9" s="10"/>
      <c r="L9" s="10"/>
      <c r="M9" s="10"/>
      <c r="N9" s="10"/>
      <c r="O9" s="10"/>
      <c r="P9" s="10"/>
    </row>
    <row r="10" spans="1:16" x14ac:dyDescent="0.3">
      <c r="A10" s="10" t="s">
        <v>17</v>
      </c>
      <c r="B10" s="11">
        <v>42</v>
      </c>
      <c r="C10" s="11">
        <v>72</v>
      </c>
      <c r="D10" s="11">
        <v>82</v>
      </c>
      <c r="E10" s="11">
        <v>100</v>
      </c>
      <c r="F10" s="41">
        <v>125.3</v>
      </c>
      <c r="G10" s="100">
        <f t="shared" ref="G10:P10" si="2">F10*(1+G42)</f>
        <v>175.00000000091001</v>
      </c>
      <c r="H10" s="100">
        <f t="shared" si="2"/>
        <v>239.99999999624802</v>
      </c>
      <c r="I10" s="100">
        <f t="shared" si="2"/>
        <v>310.00000000315373</v>
      </c>
      <c r="J10" s="100">
        <f t="shared" si="2"/>
        <v>389.9999999949676</v>
      </c>
      <c r="K10" s="100">
        <f t="shared" si="2"/>
        <v>469.99999998293532</v>
      </c>
      <c r="L10" s="100">
        <f t="shared" si="2"/>
        <v>554.5999999798637</v>
      </c>
      <c r="M10" s="100">
        <f t="shared" si="2"/>
        <v>643.3359999766418</v>
      </c>
      <c r="N10" s="100">
        <f t="shared" si="2"/>
        <v>733.40303997337173</v>
      </c>
      <c r="O10" s="100">
        <f t="shared" si="2"/>
        <v>828.74543516991002</v>
      </c>
      <c r="P10" s="100">
        <f t="shared" si="2"/>
        <v>928.1948873902993</v>
      </c>
    </row>
    <row r="11" spans="1:16" x14ac:dyDescent="0.3">
      <c r="A11" s="10" t="s">
        <v>18</v>
      </c>
      <c r="B11" s="11">
        <v>38</v>
      </c>
      <c r="C11" s="11">
        <v>75</v>
      </c>
      <c r="D11" s="11">
        <v>90</v>
      </c>
      <c r="E11" s="11">
        <v>105</v>
      </c>
      <c r="F11" s="41">
        <v>110</v>
      </c>
      <c r="G11" s="100">
        <f t="shared" ref="G11:P11" si="3">F11*(1+G43)</f>
        <v>64.999999998999996</v>
      </c>
      <c r="H11" s="100">
        <f t="shared" si="3"/>
        <v>70.199999998920006</v>
      </c>
      <c r="I11" s="100">
        <f t="shared" si="3"/>
        <v>75.815999998833618</v>
      </c>
      <c r="J11" s="100">
        <f t="shared" si="3"/>
        <v>81.881279998740311</v>
      </c>
      <c r="K11" s="100">
        <f t="shared" si="3"/>
        <v>90.500362104301828</v>
      </c>
      <c r="L11" s="100">
        <f t="shared" si="3"/>
        <v>99.550398314732021</v>
      </c>
      <c r="M11" s="100">
        <f t="shared" si="3"/>
        <v>107.51443017991059</v>
      </c>
      <c r="N11" s="100">
        <f t="shared" si="3"/>
        <v>116.11558459430344</v>
      </c>
      <c r="O11" s="100">
        <f t="shared" si="3"/>
        <v>124.24367551590468</v>
      </c>
      <c r="P11" s="100">
        <f t="shared" si="3"/>
        <v>132.94073280201803</v>
      </c>
    </row>
    <row r="12" spans="1:16" x14ac:dyDescent="0.3">
      <c r="A12" s="10" t="s">
        <v>19</v>
      </c>
      <c r="B12" s="11">
        <v>5</v>
      </c>
      <c r="C12" s="11">
        <v>20</v>
      </c>
      <c r="D12" s="11">
        <v>30</v>
      </c>
      <c r="E12" s="11">
        <v>46</v>
      </c>
      <c r="F12" s="41">
        <v>80</v>
      </c>
      <c r="G12" s="100">
        <f t="shared" ref="G12:P12" si="4">F12*(1+G44)</f>
        <v>85</v>
      </c>
      <c r="H12" s="100">
        <f t="shared" si="4"/>
        <v>139.9999999975</v>
      </c>
      <c r="I12" s="100">
        <f t="shared" si="4"/>
        <v>209.99999999624998</v>
      </c>
      <c r="J12" s="100">
        <f t="shared" si="4"/>
        <v>300.00000000064284</v>
      </c>
      <c r="K12" s="100">
        <f t="shared" si="4"/>
        <v>390.00000000083571</v>
      </c>
      <c r="L12" s="100">
        <f t="shared" si="4"/>
        <v>487.50000000104467</v>
      </c>
      <c r="M12" s="100">
        <f t="shared" si="4"/>
        <v>594.75000000127443</v>
      </c>
      <c r="N12" s="100">
        <f t="shared" si="4"/>
        <v>713.70000000152925</v>
      </c>
      <c r="O12" s="100">
        <f t="shared" si="4"/>
        <v>842.16600000180449</v>
      </c>
      <c r="P12" s="100">
        <f t="shared" si="4"/>
        <v>976.91256000209319</v>
      </c>
    </row>
    <row r="13" spans="1:16" x14ac:dyDescent="0.3">
      <c r="A13" s="10" t="s">
        <v>20</v>
      </c>
      <c r="B13" s="11">
        <v>4</v>
      </c>
      <c r="C13" s="11">
        <v>12</v>
      </c>
      <c r="D13" s="11">
        <v>18</v>
      </c>
      <c r="E13" s="11">
        <v>28</v>
      </c>
      <c r="F13" s="41">
        <v>35</v>
      </c>
      <c r="G13" s="100">
        <f t="shared" ref="G13:P13" si="5">F13*(1+G45)</f>
        <v>15.000000000999998</v>
      </c>
      <c r="H13" s="100">
        <f t="shared" si="5"/>
        <v>20.000000000833332</v>
      </c>
      <c r="I13" s="100">
        <f t="shared" si="5"/>
        <v>25.000000001041663</v>
      </c>
      <c r="J13" s="100">
        <f t="shared" si="5"/>
        <v>30.000000001249994</v>
      </c>
      <c r="K13" s="100">
        <f t="shared" si="5"/>
        <v>35.000000002458329</v>
      </c>
      <c r="L13" s="100">
        <f t="shared" si="5"/>
        <v>39.9000000028025</v>
      </c>
      <c r="M13" s="100">
        <f t="shared" si="5"/>
        <v>45.087000003166821</v>
      </c>
      <c r="N13" s="100">
        <f t="shared" si="5"/>
        <v>50.497440003546842</v>
      </c>
      <c r="O13" s="100">
        <f t="shared" si="5"/>
        <v>55.547184003901528</v>
      </c>
      <c r="P13" s="100">
        <f t="shared" si="5"/>
        <v>61.101902404291685</v>
      </c>
    </row>
    <row r="14" spans="1:16" x14ac:dyDescent="0.3">
      <c r="A14" s="10" t="s">
        <v>21</v>
      </c>
      <c r="B14" s="11">
        <v>0</v>
      </c>
      <c r="C14" s="11">
        <v>0</v>
      </c>
      <c r="D14" s="11">
        <v>3</v>
      </c>
      <c r="E14" s="11">
        <v>10</v>
      </c>
      <c r="F14" s="41">
        <v>15</v>
      </c>
      <c r="G14" s="100">
        <f t="shared" ref="G14:P14" si="6">F14*(1+G46)</f>
        <v>16.999999999499998</v>
      </c>
      <c r="H14" s="100">
        <f t="shared" si="6"/>
        <v>22.000000000052939</v>
      </c>
      <c r="I14" s="100">
        <f t="shared" si="6"/>
        <v>27.999999999467377</v>
      </c>
      <c r="J14" s="100">
        <f t="shared" si="6"/>
        <v>34.999999999334221</v>
      </c>
      <c r="K14" s="100">
        <f t="shared" si="6"/>
        <v>41.999999999201066</v>
      </c>
      <c r="L14" s="100">
        <f t="shared" si="6"/>
        <v>49.979999999049269</v>
      </c>
      <c r="M14" s="100">
        <f t="shared" si="6"/>
        <v>58.476599998887643</v>
      </c>
      <c r="N14" s="100">
        <f t="shared" si="6"/>
        <v>67.248089998720786</v>
      </c>
      <c r="O14" s="100">
        <f t="shared" si="6"/>
        <v>76.662822598541709</v>
      </c>
      <c r="P14" s="100">
        <f t="shared" si="6"/>
        <v>85.862361310366722</v>
      </c>
    </row>
    <row r="15" spans="1:16" x14ac:dyDescent="0.3">
      <c r="A15" s="103" t="s">
        <v>199</v>
      </c>
      <c r="B15" s="11">
        <v>0</v>
      </c>
      <c r="C15" s="11">
        <v>0</v>
      </c>
      <c r="D15" s="11">
        <v>0</v>
      </c>
      <c r="E15" s="11">
        <v>0</v>
      </c>
      <c r="F15" s="41">
        <v>0</v>
      </c>
      <c r="G15" s="100">
        <v>43</v>
      </c>
      <c r="H15" s="100">
        <f t="shared" ref="H15:P15" si="7">G15*(1+H47)</f>
        <v>48.000000001400004</v>
      </c>
      <c r="I15" s="100">
        <f t="shared" si="7"/>
        <v>62.000000003408339</v>
      </c>
      <c r="J15" s="100">
        <f t="shared" si="7"/>
        <v>70.000000006048126</v>
      </c>
      <c r="K15" s="100">
        <f t="shared" si="7"/>
        <v>84.000000007257754</v>
      </c>
      <c r="L15" s="100">
        <f t="shared" si="7"/>
        <v>105.0000000090722</v>
      </c>
      <c r="M15" s="100">
        <f t="shared" si="7"/>
        <v>128.10000001106806</v>
      </c>
      <c r="N15" s="100">
        <f t="shared" si="7"/>
        <v>153.72000001328166</v>
      </c>
      <c r="O15" s="100">
        <f t="shared" si="7"/>
        <v>181.38960001567236</v>
      </c>
      <c r="P15" s="100">
        <f t="shared" si="7"/>
        <v>210.41193601817992</v>
      </c>
    </row>
    <row r="16" spans="1:16" x14ac:dyDescent="0.3">
      <c r="A16" s="31" t="s">
        <v>22</v>
      </c>
      <c r="B16" s="130">
        <v>2.2000000000000002</v>
      </c>
      <c r="C16" s="130">
        <v>5</v>
      </c>
      <c r="D16" s="130">
        <v>4.0999999999999996</v>
      </c>
      <c r="E16" s="130">
        <v>8.1</v>
      </c>
      <c r="F16" s="144">
        <v>3.5</v>
      </c>
      <c r="G16" s="131">
        <v>0</v>
      </c>
      <c r="H16" s="131">
        <v>0</v>
      </c>
      <c r="I16" s="131">
        <v>0</v>
      </c>
      <c r="J16" s="131">
        <v>0</v>
      </c>
      <c r="K16" s="131">
        <v>0</v>
      </c>
      <c r="L16" s="131">
        <v>0</v>
      </c>
      <c r="M16" s="131">
        <v>0</v>
      </c>
      <c r="N16" s="131">
        <v>0</v>
      </c>
      <c r="O16" s="131">
        <v>0</v>
      </c>
      <c r="P16" s="131">
        <v>0</v>
      </c>
    </row>
    <row r="17" spans="1:16" x14ac:dyDescent="0.3">
      <c r="A17" s="10"/>
      <c r="B17" s="10"/>
      <c r="C17" s="10"/>
      <c r="D17" s="10"/>
      <c r="E17" s="10"/>
      <c r="F17" s="43"/>
      <c r="G17" s="10"/>
      <c r="H17" s="10"/>
      <c r="I17" s="10"/>
      <c r="J17" s="10"/>
      <c r="K17" s="10"/>
      <c r="L17" s="10"/>
      <c r="M17" s="10"/>
      <c r="N17" s="10"/>
      <c r="O17" s="10"/>
      <c r="P17" s="10"/>
    </row>
    <row r="18" spans="1:16" ht="15" thickBot="1" x14ac:dyDescent="0.35">
      <c r="A18" s="10"/>
      <c r="B18" s="10"/>
      <c r="C18" s="10"/>
      <c r="D18" s="10"/>
      <c r="E18" s="10"/>
      <c r="F18" s="43"/>
      <c r="G18" s="10"/>
      <c r="H18" s="10"/>
      <c r="I18" s="10"/>
      <c r="J18" s="10"/>
      <c r="K18" s="10"/>
      <c r="L18" s="10"/>
      <c r="M18" s="10"/>
      <c r="N18" s="10"/>
      <c r="O18" s="10"/>
      <c r="P18" s="10"/>
    </row>
    <row r="19" spans="1:16" x14ac:dyDescent="0.3">
      <c r="A19" s="117" t="s">
        <v>23</v>
      </c>
      <c r="B19" s="118"/>
      <c r="C19" s="118"/>
      <c r="D19" s="118"/>
      <c r="E19" s="118"/>
      <c r="F19" s="145"/>
      <c r="G19" s="118"/>
      <c r="H19" s="118"/>
      <c r="I19" s="118"/>
      <c r="J19" s="118"/>
      <c r="K19" s="118"/>
      <c r="L19" s="118"/>
      <c r="M19" s="118"/>
      <c r="N19" s="118"/>
      <c r="O19" s="118"/>
      <c r="P19" s="118"/>
    </row>
    <row r="20" spans="1:16" ht="15" thickBot="1" x14ac:dyDescent="0.35">
      <c r="A20" s="124" t="s">
        <v>3</v>
      </c>
      <c r="B20" s="125" t="s">
        <v>4</v>
      </c>
      <c r="C20" s="125" t="s">
        <v>5</v>
      </c>
      <c r="D20" s="125" t="s">
        <v>6</v>
      </c>
      <c r="E20" s="125" t="s">
        <v>7</v>
      </c>
      <c r="F20" s="143" t="s">
        <v>8</v>
      </c>
      <c r="G20" s="126" t="s">
        <v>9</v>
      </c>
      <c r="H20" s="126" t="s">
        <v>10</v>
      </c>
      <c r="I20" s="126" t="s">
        <v>11</v>
      </c>
      <c r="J20" s="126" t="s">
        <v>12</v>
      </c>
      <c r="K20" s="126" t="s">
        <v>13</v>
      </c>
      <c r="L20" s="127" t="s">
        <v>240</v>
      </c>
      <c r="M20" s="127" t="s">
        <v>241</v>
      </c>
      <c r="N20" s="127" t="s">
        <v>242</v>
      </c>
      <c r="O20" s="127" t="s">
        <v>243</v>
      </c>
      <c r="P20" s="127" t="s">
        <v>244</v>
      </c>
    </row>
    <row r="21" spans="1:16" x14ac:dyDescent="0.3">
      <c r="A21" s="10" t="s">
        <v>24</v>
      </c>
      <c r="B21" s="70">
        <v>0.51</v>
      </c>
      <c r="C21" s="70">
        <v>0.51</v>
      </c>
      <c r="D21" s="70">
        <v>0.46500000000000002</v>
      </c>
      <c r="E21" s="70">
        <v>0.5</v>
      </c>
      <c r="F21" s="86">
        <v>0.48</v>
      </c>
      <c r="G21" s="101">
        <v>0.47</v>
      </c>
      <c r="H21" s="101">
        <v>0.45500000000000002</v>
      </c>
      <c r="I21" s="101">
        <v>0.44</v>
      </c>
      <c r="J21" s="101">
        <v>0.43</v>
      </c>
      <c r="K21" s="101">
        <v>0.42</v>
      </c>
      <c r="L21" s="101">
        <v>0.41</v>
      </c>
      <c r="M21" s="101">
        <v>0.4</v>
      </c>
      <c r="N21" s="101">
        <v>0.39</v>
      </c>
      <c r="O21" s="101">
        <v>0.38500000000000001</v>
      </c>
      <c r="P21" s="101">
        <v>0.38</v>
      </c>
    </row>
    <row r="22" spans="1:16" x14ac:dyDescent="0.3">
      <c r="A22" s="10" t="s">
        <v>25</v>
      </c>
      <c r="B22" s="70">
        <v>0.1</v>
      </c>
      <c r="C22" s="70">
        <v>0.09</v>
      </c>
      <c r="D22" s="70">
        <v>9.5000000000000001E-2</v>
      </c>
      <c r="E22" s="70">
        <v>0.11</v>
      </c>
      <c r="F22" s="86">
        <v>0.105</v>
      </c>
      <c r="G22" s="101">
        <v>0.125</v>
      </c>
      <c r="H22" s="101">
        <v>0.115</v>
      </c>
      <c r="I22" s="101">
        <v>0.105</v>
      </c>
      <c r="J22" s="101">
        <v>9.5000000000000001E-2</v>
      </c>
      <c r="K22" s="101">
        <v>0.09</v>
      </c>
      <c r="L22" s="101">
        <v>8.5000000000000006E-2</v>
      </c>
      <c r="M22" s="101">
        <v>8.2000000000000003E-2</v>
      </c>
      <c r="N22" s="101">
        <v>0.08</v>
      </c>
      <c r="O22" s="101">
        <v>7.8E-2</v>
      </c>
      <c r="P22" s="101">
        <v>7.4999999999999997E-2</v>
      </c>
    </row>
    <row r="23" spans="1:16" x14ac:dyDescent="0.3">
      <c r="A23" s="10" t="s">
        <v>26</v>
      </c>
      <c r="B23" s="70">
        <v>0.18</v>
      </c>
      <c r="C23" s="70">
        <v>0.17</v>
      </c>
      <c r="D23" s="70">
        <v>0.17</v>
      </c>
      <c r="E23" s="70">
        <v>0.19</v>
      </c>
      <c r="F23" s="86">
        <v>0.185</v>
      </c>
      <c r="G23" s="101">
        <v>0.185</v>
      </c>
      <c r="H23" s="101">
        <v>0.185</v>
      </c>
      <c r="I23" s="101">
        <v>0.17499999999999999</v>
      </c>
      <c r="J23" s="101">
        <v>0.17</v>
      </c>
      <c r="K23" s="101">
        <v>0.16500000000000001</v>
      </c>
      <c r="L23" s="101">
        <v>0.16</v>
      </c>
      <c r="M23" s="101">
        <v>0.155</v>
      </c>
      <c r="N23" s="101">
        <v>0.15</v>
      </c>
      <c r="O23" s="101">
        <v>0.14799999999999999</v>
      </c>
      <c r="P23" s="101">
        <v>0.14499999999999999</v>
      </c>
    </row>
    <row r="24" spans="1:16" x14ac:dyDescent="0.3">
      <c r="A24" s="10" t="s">
        <v>27</v>
      </c>
      <c r="B24" s="92">
        <v>0.21</v>
      </c>
      <c r="C24" s="92">
        <v>0.23</v>
      </c>
      <c r="D24" s="92">
        <v>0.23400000000000001</v>
      </c>
      <c r="E24" s="92">
        <v>0.20300000000000001</v>
      </c>
      <c r="F24" s="91">
        <v>0.22370000000000001</v>
      </c>
      <c r="G24" s="104">
        <v>0.22</v>
      </c>
      <c r="H24" s="104">
        <v>0.245</v>
      </c>
      <c r="I24" s="104">
        <v>0.28000000000000003</v>
      </c>
      <c r="J24" s="104">
        <v>0.30499999999999999</v>
      </c>
      <c r="K24" s="104">
        <v>0.32500000000000001</v>
      </c>
      <c r="L24" s="101">
        <f>1-L21-L22-L23</f>
        <v>0.34500000000000008</v>
      </c>
      <c r="M24" s="101">
        <f>1-M21-M22-M23</f>
        <v>0.36299999999999999</v>
      </c>
      <c r="N24" s="101">
        <f>1-N21-N22-N23</f>
        <v>0.38</v>
      </c>
      <c r="O24" s="101">
        <f>1-O21-O22-O23</f>
        <v>0.38900000000000001</v>
      </c>
      <c r="P24" s="101">
        <f>1-P21-P22-P23</f>
        <v>0.4</v>
      </c>
    </row>
    <row r="25" spans="1:16" x14ac:dyDescent="0.3">
      <c r="A25" s="10" t="s">
        <v>285</v>
      </c>
      <c r="B25" s="70">
        <v>0.157</v>
      </c>
      <c r="C25" s="70">
        <v>0.14499999999999999</v>
      </c>
      <c r="D25" s="70">
        <v>0.13600000000000001</v>
      </c>
      <c r="E25" s="70">
        <v>0.124</v>
      </c>
      <c r="F25" s="86">
        <v>0.11799999999999999</v>
      </c>
      <c r="G25" s="101">
        <v>0.115</v>
      </c>
      <c r="H25" s="101">
        <v>0.112</v>
      </c>
      <c r="I25" s="101">
        <v>0.109</v>
      </c>
      <c r="J25" s="101">
        <v>0.107</v>
      </c>
      <c r="K25" s="101">
        <v>0.104</v>
      </c>
      <c r="L25" s="101">
        <v>0.10100000000000001</v>
      </c>
      <c r="M25" s="101">
        <v>9.8000000000000004E-2</v>
      </c>
      <c r="N25" s="101">
        <v>9.6000000000000002E-2</v>
      </c>
      <c r="O25" s="101">
        <v>9.2999999999999999E-2</v>
      </c>
      <c r="P25" s="101">
        <v>0.09</v>
      </c>
    </row>
    <row r="26" spans="1:16" x14ac:dyDescent="0.3">
      <c r="A26" s="10" t="s">
        <v>28</v>
      </c>
      <c r="B26" s="70">
        <v>0.02</v>
      </c>
      <c r="C26" s="70">
        <v>0.01</v>
      </c>
      <c r="D26" s="70">
        <v>0.01</v>
      </c>
      <c r="E26" s="70">
        <v>0.01</v>
      </c>
      <c r="F26" s="86">
        <v>2.5000000000000001E-2</v>
      </c>
      <c r="G26" s="101">
        <v>1.4999999999999999E-2</v>
      </c>
      <c r="H26" s="101">
        <v>1.2E-2</v>
      </c>
      <c r="I26" s="101">
        <v>0.01</v>
      </c>
      <c r="J26" s="101">
        <v>8.0000000000000002E-3</v>
      </c>
      <c r="K26" s="101">
        <v>7.0000000000000001E-3</v>
      </c>
      <c r="L26" s="101">
        <v>6.0000000000000001E-3</v>
      </c>
      <c r="M26" s="101">
        <v>5.0000000000000001E-3</v>
      </c>
      <c r="N26" s="101">
        <v>5.0000000000000001E-3</v>
      </c>
      <c r="O26" s="101">
        <v>4.0000000000000001E-3</v>
      </c>
      <c r="P26" s="101">
        <v>4.0000000000000001E-3</v>
      </c>
    </row>
    <row r="27" spans="1:16" x14ac:dyDescent="0.3">
      <c r="A27" s="10" t="s">
        <v>29</v>
      </c>
      <c r="B27" s="70">
        <v>0.22</v>
      </c>
      <c r="C27" s="70">
        <v>0.22</v>
      </c>
      <c r="D27" s="70">
        <v>0.22500000000000001</v>
      </c>
      <c r="E27" s="70">
        <v>0.22500000000000001</v>
      </c>
      <c r="F27" s="86">
        <v>0.22</v>
      </c>
      <c r="G27" s="101">
        <v>0.22500000000000001</v>
      </c>
      <c r="H27" s="101">
        <v>0.22500000000000001</v>
      </c>
      <c r="I27" s="101">
        <v>0.22500000000000001</v>
      </c>
      <c r="J27" s="101">
        <v>0.22500000000000001</v>
      </c>
      <c r="K27" s="101">
        <v>0.22500000000000001</v>
      </c>
      <c r="L27" s="101">
        <v>0.22500000000000001</v>
      </c>
      <c r="M27" s="101">
        <v>0.22500000000000001</v>
      </c>
      <c r="N27" s="101">
        <v>0.22500000000000001</v>
      </c>
      <c r="O27" s="101">
        <v>0.22500000000000001</v>
      </c>
      <c r="P27" s="101">
        <v>0.22500000000000001</v>
      </c>
    </row>
    <row r="28" spans="1:16" x14ac:dyDescent="0.3">
      <c r="A28" s="31" t="s">
        <v>30</v>
      </c>
      <c r="B28" s="132">
        <v>0.1</v>
      </c>
      <c r="C28" s="132">
        <v>0.14000000000000001</v>
      </c>
      <c r="D28" s="132">
        <v>0.13500000000000001</v>
      </c>
      <c r="E28" s="132">
        <v>0.123</v>
      </c>
      <c r="F28" s="146">
        <v>0.114</v>
      </c>
      <c r="G28" s="133">
        <f>'Income Statement'!H27</f>
        <v>0.15931093749999956</v>
      </c>
      <c r="H28" s="133">
        <f>'Income Statement'!I27</f>
        <v>0.17204569603842462</v>
      </c>
      <c r="I28" s="133">
        <f>'Income Statement'!J27</f>
        <v>0.20736760553364597</v>
      </c>
      <c r="J28" s="133">
        <f>'Income Statement'!K27</f>
        <v>0.22724704502913309</v>
      </c>
      <c r="K28" s="133">
        <f>'Income Statement'!L27</f>
        <v>0.24311069012096953</v>
      </c>
      <c r="L28" s="134">
        <f>'Income Statement'!M27</f>
        <v>0.25930955386922649</v>
      </c>
      <c r="M28" s="134">
        <f>'Income Statement'!N27</f>
        <v>0.27393685518888955</v>
      </c>
      <c r="N28" s="134">
        <f>'Income Statement'!O27</f>
        <v>0.28692269416138533</v>
      </c>
      <c r="O28" s="134">
        <f>'Income Statement'!P27</f>
        <v>0.29465074701681343</v>
      </c>
      <c r="P28" s="134">
        <f>'Income Statement'!Q27</f>
        <v>0.30316449158444114</v>
      </c>
    </row>
    <row r="29" spans="1:16" x14ac:dyDescent="0.3">
      <c r="A29" s="10"/>
      <c r="B29" s="10"/>
      <c r="C29" s="10"/>
      <c r="D29" s="10"/>
      <c r="E29" s="10"/>
      <c r="F29" s="43"/>
      <c r="G29" s="10"/>
      <c r="H29" s="10"/>
      <c r="I29" s="10"/>
      <c r="J29" s="10"/>
      <c r="K29" s="10"/>
      <c r="L29" s="10"/>
      <c r="M29" s="10"/>
      <c r="N29" s="10"/>
      <c r="O29" s="10"/>
      <c r="P29" s="10"/>
    </row>
    <row r="30" spans="1:16" ht="15" thickBot="1" x14ac:dyDescent="0.35">
      <c r="A30" s="10"/>
      <c r="B30" s="10"/>
      <c r="C30" s="10"/>
      <c r="D30" s="10"/>
      <c r="E30" s="10"/>
      <c r="F30" s="43"/>
      <c r="G30" s="10"/>
      <c r="H30" s="10"/>
      <c r="I30" s="10"/>
      <c r="J30" s="10"/>
      <c r="K30" s="10"/>
      <c r="L30" s="10"/>
      <c r="M30" s="10"/>
      <c r="N30" s="10"/>
      <c r="O30" s="10"/>
      <c r="P30" s="10"/>
    </row>
    <row r="31" spans="1:16" x14ac:dyDescent="0.3">
      <c r="A31" s="117" t="s">
        <v>31</v>
      </c>
      <c r="B31" s="118"/>
      <c r="C31" s="118"/>
      <c r="D31" s="118"/>
      <c r="E31" s="118"/>
      <c r="F31" s="145"/>
      <c r="G31" s="118"/>
      <c r="H31" s="118"/>
      <c r="I31" s="118"/>
      <c r="J31" s="118"/>
      <c r="K31" s="118"/>
      <c r="L31" s="118"/>
      <c r="M31" s="118"/>
      <c r="N31" s="118"/>
      <c r="O31" s="118"/>
      <c r="P31" s="118"/>
    </row>
    <row r="32" spans="1:16" ht="15" thickBot="1" x14ac:dyDescent="0.35">
      <c r="A32" s="124" t="s">
        <v>3</v>
      </c>
      <c r="B32" s="125" t="s">
        <v>4</v>
      </c>
      <c r="C32" s="125" t="s">
        <v>5</v>
      </c>
      <c r="D32" s="125" t="s">
        <v>6</v>
      </c>
      <c r="E32" s="125" t="s">
        <v>7</v>
      </c>
      <c r="F32" s="143" t="s">
        <v>8</v>
      </c>
      <c r="G32" s="126" t="s">
        <v>9</v>
      </c>
      <c r="H32" s="126" t="s">
        <v>10</v>
      </c>
      <c r="I32" s="126" t="s">
        <v>11</v>
      </c>
      <c r="J32" s="126" t="s">
        <v>12</v>
      </c>
      <c r="K32" s="126" t="s">
        <v>13</v>
      </c>
      <c r="L32" s="127" t="s">
        <v>240</v>
      </c>
      <c r="M32" s="127" t="s">
        <v>241</v>
      </c>
      <c r="N32" s="127" t="s">
        <v>242</v>
      </c>
      <c r="O32" s="127" t="s">
        <v>243</v>
      </c>
      <c r="P32" s="127" t="s">
        <v>244</v>
      </c>
    </row>
    <row r="33" spans="1:16" x14ac:dyDescent="0.3">
      <c r="A33" s="10" t="s">
        <v>32</v>
      </c>
      <c r="B33" s="72">
        <v>150</v>
      </c>
      <c r="C33" s="72">
        <v>132</v>
      </c>
      <c r="D33" s="72">
        <v>135</v>
      </c>
      <c r="E33" s="72">
        <v>125</v>
      </c>
      <c r="F33" s="88">
        <v>122</v>
      </c>
      <c r="G33" s="105">
        <v>118</v>
      </c>
      <c r="H33" s="105">
        <v>112</v>
      </c>
      <c r="I33" s="105">
        <v>105</v>
      </c>
      <c r="J33" s="105">
        <v>100</v>
      </c>
      <c r="K33" s="105">
        <v>95</v>
      </c>
      <c r="L33" s="105">
        <v>92</v>
      </c>
      <c r="M33" s="105">
        <v>88</v>
      </c>
      <c r="N33" s="105">
        <v>85</v>
      </c>
      <c r="O33" s="105">
        <v>82</v>
      </c>
      <c r="P33" s="105">
        <v>80</v>
      </c>
    </row>
    <row r="34" spans="1:16" x14ac:dyDescent="0.3">
      <c r="A34" s="10" t="s">
        <v>33</v>
      </c>
      <c r="B34" s="72">
        <v>90</v>
      </c>
      <c r="C34" s="72">
        <v>85</v>
      </c>
      <c r="D34" s="72">
        <v>95</v>
      </c>
      <c r="E34" s="72">
        <v>100</v>
      </c>
      <c r="F34" s="88">
        <v>105</v>
      </c>
      <c r="G34" s="105">
        <v>100</v>
      </c>
      <c r="H34" s="105">
        <v>92</v>
      </c>
      <c r="I34" s="105">
        <v>85</v>
      </c>
      <c r="J34" s="105">
        <v>80</v>
      </c>
      <c r="K34" s="105">
        <v>75</v>
      </c>
      <c r="L34" s="105">
        <v>72</v>
      </c>
      <c r="M34" s="105">
        <v>70</v>
      </c>
      <c r="N34" s="105">
        <v>68</v>
      </c>
      <c r="O34" s="105">
        <v>66</v>
      </c>
      <c r="P34" s="105">
        <v>65</v>
      </c>
    </row>
    <row r="35" spans="1:16" x14ac:dyDescent="0.3">
      <c r="A35" s="10" t="s">
        <v>34</v>
      </c>
      <c r="B35" s="72">
        <v>80</v>
      </c>
      <c r="C35" s="72">
        <v>70</v>
      </c>
      <c r="D35" s="72">
        <v>75</v>
      </c>
      <c r="E35" s="72">
        <v>72</v>
      </c>
      <c r="F35" s="88">
        <v>70</v>
      </c>
      <c r="G35" s="105">
        <v>70</v>
      </c>
      <c r="H35" s="105">
        <v>68</v>
      </c>
      <c r="I35" s="105">
        <v>65</v>
      </c>
      <c r="J35" s="105">
        <v>62</v>
      </c>
      <c r="K35" s="105">
        <v>60</v>
      </c>
      <c r="L35" s="105">
        <v>58</v>
      </c>
      <c r="M35" s="105">
        <v>57</v>
      </c>
      <c r="N35" s="105">
        <v>56</v>
      </c>
      <c r="O35" s="105">
        <v>55</v>
      </c>
      <c r="P35" s="105">
        <v>55</v>
      </c>
    </row>
    <row r="36" spans="1:16" x14ac:dyDescent="0.3">
      <c r="A36" s="10" t="s">
        <v>35</v>
      </c>
      <c r="B36" s="11">
        <v>8</v>
      </c>
      <c r="C36" s="11">
        <v>12</v>
      </c>
      <c r="D36" s="11">
        <v>19</v>
      </c>
      <c r="E36" s="11">
        <v>14</v>
      </c>
      <c r="F36" s="41">
        <v>25</v>
      </c>
      <c r="G36" s="100">
        <v>35</v>
      </c>
      <c r="H36" s="100">
        <v>42</v>
      </c>
      <c r="I36" s="100">
        <v>48</v>
      </c>
      <c r="J36" s="100">
        <v>52</v>
      </c>
      <c r="K36" s="100">
        <v>55</v>
      </c>
      <c r="L36" s="105">
        <v>62</v>
      </c>
      <c r="M36" s="105">
        <v>68</v>
      </c>
      <c r="N36" s="105">
        <v>75</v>
      </c>
      <c r="O36" s="105">
        <v>82</v>
      </c>
      <c r="P36" s="105">
        <v>86</v>
      </c>
    </row>
    <row r="37" spans="1:16" x14ac:dyDescent="0.3">
      <c r="A37" s="10" t="s">
        <v>36</v>
      </c>
      <c r="B37" s="70">
        <v>8.7999999999999995E-2</v>
      </c>
      <c r="C37" s="70">
        <v>6.5000000000000002E-2</v>
      </c>
      <c r="D37" s="70">
        <v>8.4000000000000005E-2</v>
      </c>
      <c r="E37" s="70">
        <v>4.7E-2</v>
      </c>
      <c r="F37" s="86">
        <v>6.8000000000000005E-2</v>
      </c>
      <c r="G37" s="101">
        <v>8.7999999999999995E-2</v>
      </c>
      <c r="H37" s="101">
        <v>7.6999999999999999E-2</v>
      </c>
      <c r="I37" s="101">
        <v>6.7000000000000004E-2</v>
      </c>
      <c r="J37" s="101">
        <v>5.7000000000000002E-2</v>
      </c>
      <c r="K37" s="101">
        <v>4.8000000000000001E-2</v>
      </c>
      <c r="L37" s="101">
        <f>L36/L6</f>
        <v>4.6388769068444975E-2</v>
      </c>
      <c r="M37" s="101">
        <f>M36/M6</f>
        <v>4.3112629654421225E-2</v>
      </c>
      <c r="N37" s="101">
        <f>N36/N6</f>
        <v>4.087897080954233E-2</v>
      </c>
      <c r="O37" s="101">
        <f>O36/O6</f>
        <v>3.8885508744595898E-2</v>
      </c>
      <c r="P37" s="101">
        <f>P36/P6</f>
        <v>3.5901780377893579E-2</v>
      </c>
    </row>
    <row r="38" spans="1:16" x14ac:dyDescent="0.3">
      <c r="A38" s="31" t="s">
        <v>37</v>
      </c>
      <c r="B38" s="135">
        <v>0.96</v>
      </c>
      <c r="C38" s="135">
        <v>0.96</v>
      </c>
      <c r="D38" s="135">
        <v>0.96</v>
      </c>
      <c r="E38" s="135">
        <v>0.96</v>
      </c>
      <c r="F38" s="147">
        <v>1.01</v>
      </c>
      <c r="G38" s="136">
        <v>1.0384</v>
      </c>
      <c r="H38" s="136">
        <v>1.0384</v>
      </c>
      <c r="I38" s="136">
        <v>1.0384</v>
      </c>
      <c r="J38" s="136">
        <v>1.0384</v>
      </c>
      <c r="K38" s="136">
        <v>1.0384</v>
      </c>
      <c r="L38" s="136">
        <v>1.0384</v>
      </c>
      <c r="M38" s="136">
        <v>1.0384</v>
      </c>
      <c r="N38" s="136">
        <v>1.0384</v>
      </c>
      <c r="O38" s="136">
        <v>1.0384</v>
      </c>
      <c r="P38" s="136">
        <v>1.0384</v>
      </c>
    </row>
    <row r="39" spans="1:16" ht="15" thickBot="1" x14ac:dyDescent="0.35">
      <c r="A39" s="10"/>
      <c r="B39" s="10"/>
      <c r="C39" s="10"/>
      <c r="D39" s="10"/>
      <c r="E39" s="10"/>
      <c r="F39" s="43"/>
      <c r="G39" s="10"/>
      <c r="H39" s="10"/>
      <c r="I39" s="10"/>
      <c r="J39" s="10"/>
      <c r="K39" s="10"/>
      <c r="L39" s="10"/>
      <c r="M39" s="10"/>
      <c r="N39" s="10"/>
      <c r="O39" s="10"/>
      <c r="P39" s="10"/>
    </row>
    <row r="40" spans="1:16" x14ac:dyDescent="0.3">
      <c r="A40" s="117" t="s">
        <v>223</v>
      </c>
      <c r="B40" s="118"/>
      <c r="C40" s="118"/>
      <c r="D40" s="118"/>
      <c r="E40" s="118"/>
      <c r="F40" s="145"/>
      <c r="G40" s="118"/>
      <c r="H40" s="118"/>
      <c r="I40" s="118"/>
      <c r="J40" s="118"/>
      <c r="K40" s="118"/>
      <c r="L40" s="118"/>
      <c r="M40" s="118"/>
      <c r="N40" s="118"/>
      <c r="O40" s="118"/>
      <c r="P40" s="118"/>
    </row>
    <row r="41" spans="1:16" ht="15" thickBot="1" x14ac:dyDescent="0.35">
      <c r="A41" s="128" t="s">
        <v>224</v>
      </c>
      <c r="B41" s="129" t="s">
        <v>4</v>
      </c>
      <c r="C41" s="129" t="s">
        <v>5</v>
      </c>
      <c r="D41" s="129" t="s">
        <v>6</v>
      </c>
      <c r="E41" s="129" t="s">
        <v>7</v>
      </c>
      <c r="F41" s="148" t="s">
        <v>8</v>
      </c>
      <c r="G41" s="127" t="s">
        <v>9</v>
      </c>
      <c r="H41" s="127" t="s">
        <v>10</v>
      </c>
      <c r="I41" s="127" t="s">
        <v>11</v>
      </c>
      <c r="J41" s="127" t="s">
        <v>12</v>
      </c>
      <c r="K41" s="127" t="s">
        <v>13</v>
      </c>
      <c r="L41" s="127" t="s">
        <v>240</v>
      </c>
      <c r="M41" s="127" t="s">
        <v>241</v>
      </c>
      <c r="N41" s="127" t="s">
        <v>242</v>
      </c>
      <c r="O41" s="127" t="s">
        <v>243</v>
      </c>
      <c r="P41" s="127" t="s">
        <v>244</v>
      </c>
    </row>
    <row r="42" spans="1:16" x14ac:dyDescent="0.3">
      <c r="A42" s="108" t="s">
        <v>225</v>
      </c>
      <c r="B42" s="109"/>
      <c r="C42" s="110">
        <f t="shared" ref="C42:F45" si="8">(C10-B10)/B10</f>
        <v>0.7142857142857143</v>
      </c>
      <c r="D42" s="110">
        <f t="shared" si="8"/>
        <v>0.1388888888888889</v>
      </c>
      <c r="E42" s="110">
        <f t="shared" si="8"/>
        <v>0.21951219512195122</v>
      </c>
      <c r="F42" s="149">
        <f t="shared" si="8"/>
        <v>0.25299999999999995</v>
      </c>
      <c r="G42" s="111">
        <v>0.39664804469999998</v>
      </c>
      <c r="H42" s="111">
        <v>0.37142857140000002</v>
      </c>
      <c r="I42" s="111">
        <v>0.29166666670000002</v>
      </c>
      <c r="J42" s="111">
        <v>0.25806451609999997</v>
      </c>
      <c r="K42" s="111">
        <v>0.20512820509999999</v>
      </c>
      <c r="L42" s="111">
        <v>0.18</v>
      </c>
      <c r="M42" s="111">
        <v>0.16</v>
      </c>
      <c r="N42" s="111">
        <v>0.14000000000000001</v>
      </c>
      <c r="O42" s="111">
        <v>0.13</v>
      </c>
      <c r="P42" s="111">
        <v>0.12</v>
      </c>
    </row>
    <row r="43" spans="1:16" x14ac:dyDescent="0.3">
      <c r="A43" s="108" t="s">
        <v>226</v>
      </c>
      <c r="B43" s="109"/>
      <c r="C43" s="110">
        <f t="shared" si="8"/>
        <v>0.97368421052631582</v>
      </c>
      <c r="D43" s="110">
        <f t="shared" si="8"/>
        <v>0.2</v>
      </c>
      <c r="E43" s="110">
        <f t="shared" si="8"/>
        <v>0.16666666666666666</v>
      </c>
      <c r="F43" s="149">
        <f t="shared" si="8"/>
        <v>4.7619047619047616E-2</v>
      </c>
      <c r="G43" s="111">
        <v>-0.40909090910000001</v>
      </c>
      <c r="H43" s="111">
        <v>0.08</v>
      </c>
      <c r="I43" s="111">
        <v>0.08</v>
      </c>
      <c r="J43" s="111">
        <v>0.08</v>
      </c>
      <c r="K43" s="111">
        <v>0.1052631579</v>
      </c>
      <c r="L43" s="111">
        <v>0.1</v>
      </c>
      <c r="M43" s="111">
        <v>0.08</v>
      </c>
      <c r="N43" s="111">
        <v>0.08</v>
      </c>
      <c r="O43" s="111">
        <v>7.0000000000000007E-2</v>
      </c>
      <c r="P43" s="111">
        <v>7.0000000000000007E-2</v>
      </c>
    </row>
    <row r="44" spans="1:16" x14ac:dyDescent="0.3">
      <c r="A44" s="108" t="s">
        <v>227</v>
      </c>
      <c r="B44" s="109"/>
      <c r="C44" s="110">
        <f t="shared" si="8"/>
        <v>3</v>
      </c>
      <c r="D44" s="110">
        <f t="shared" si="8"/>
        <v>0.5</v>
      </c>
      <c r="E44" s="110">
        <f t="shared" si="8"/>
        <v>0.53333333333333333</v>
      </c>
      <c r="F44" s="149">
        <f t="shared" si="8"/>
        <v>0.73913043478260865</v>
      </c>
      <c r="G44" s="111">
        <v>6.25E-2</v>
      </c>
      <c r="H44" s="111">
        <v>0.64705882349999999</v>
      </c>
      <c r="I44" s="111">
        <v>0.5</v>
      </c>
      <c r="J44" s="111">
        <v>0.42857142860000003</v>
      </c>
      <c r="K44" s="111">
        <v>0.3</v>
      </c>
      <c r="L44" s="111">
        <v>0.25</v>
      </c>
      <c r="M44" s="111">
        <v>0.22</v>
      </c>
      <c r="N44" s="111">
        <v>0.2</v>
      </c>
      <c r="O44" s="111">
        <v>0.18</v>
      </c>
      <c r="P44" s="111">
        <v>0.16</v>
      </c>
    </row>
    <row r="45" spans="1:16" x14ac:dyDescent="0.3">
      <c r="A45" s="108" t="s">
        <v>228</v>
      </c>
      <c r="B45" s="109"/>
      <c r="C45" s="110">
        <f t="shared" si="8"/>
        <v>2</v>
      </c>
      <c r="D45" s="110">
        <f t="shared" si="8"/>
        <v>0.5</v>
      </c>
      <c r="E45" s="110">
        <f t="shared" si="8"/>
        <v>0.55555555555555558</v>
      </c>
      <c r="F45" s="149">
        <f t="shared" si="8"/>
        <v>0.25</v>
      </c>
      <c r="G45" s="111">
        <v>-0.57142857140000003</v>
      </c>
      <c r="H45" s="111">
        <v>0.33333333329999998</v>
      </c>
      <c r="I45" s="111">
        <v>0.25</v>
      </c>
      <c r="J45" s="111">
        <v>0.2</v>
      </c>
      <c r="K45" s="111">
        <v>0.16666666669999999</v>
      </c>
      <c r="L45" s="111">
        <v>0.14000000000000001</v>
      </c>
      <c r="M45" s="111">
        <v>0.13</v>
      </c>
      <c r="N45" s="111">
        <v>0.12</v>
      </c>
      <c r="O45" s="111">
        <v>0.1</v>
      </c>
      <c r="P45" s="111">
        <v>0.1</v>
      </c>
    </row>
    <row r="46" spans="1:16" x14ac:dyDescent="0.3">
      <c r="A46" s="108" t="s">
        <v>229</v>
      </c>
      <c r="B46" s="109"/>
      <c r="C46" s="109"/>
      <c r="D46" s="109"/>
      <c r="E46" s="112">
        <f>(E14-D14)/D14</f>
        <v>2.3333333333333335</v>
      </c>
      <c r="F46" s="149">
        <f>(F14-E14)/E14</f>
        <v>0.5</v>
      </c>
      <c r="G46" s="111">
        <v>0.1333333333</v>
      </c>
      <c r="H46" s="111">
        <v>0.29411764709999999</v>
      </c>
      <c r="I46" s="111">
        <v>0.27272727270000002</v>
      </c>
      <c r="J46" s="111">
        <v>0.25</v>
      </c>
      <c r="K46" s="111">
        <v>0.2</v>
      </c>
      <c r="L46" s="111">
        <v>0.19</v>
      </c>
      <c r="M46" s="111">
        <v>0.17</v>
      </c>
      <c r="N46" s="111">
        <v>0.15</v>
      </c>
      <c r="O46" s="111">
        <v>0.14000000000000001</v>
      </c>
      <c r="P46" s="111">
        <v>0.12</v>
      </c>
    </row>
    <row r="47" spans="1:16" x14ac:dyDescent="0.3">
      <c r="A47" s="108" t="s">
        <v>230</v>
      </c>
      <c r="B47" s="109"/>
      <c r="C47" s="109"/>
      <c r="D47" s="109"/>
      <c r="E47" s="109"/>
      <c r="F47" s="43"/>
      <c r="G47" s="113" t="s">
        <v>231</v>
      </c>
      <c r="H47" s="111">
        <v>0.1162790698</v>
      </c>
      <c r="I47" s="111">
        <v>0.29166666670000002</v>
      </c>
      <c r="J47" s="111">
        <v>0.12903225809999999</v>
      </c>
      <c r="K47" s="111">
        <v>0.2</v>
      </c>
      <c r="L47" s="111">
        <v>0.25</v>
      </c>
      <c r="M47" s="111">
        <v>0.22</v>
      </c>
      <c r="N47" s="111">
        <v>0.2</v>
      </c>
      <c r="O47" s="111">
        <v>0.18</v>
      </c>
      <c r="P47" s="111">
        <v>0.16</v>
      </c>
    </row>
    <row r="48" spans="1:16" x14ac:dyDescent="0.3">
      <c r="A48" s="68" t="s">
        <v>232</v>
      </c>
      <c r="B48" s="140"/>
      <c r="C48" s="141">
        <f t="shared" ref="C48:P48" si="9">(C6-B6)/B6</f>
        <v>1.0175438596491226</v>
      </c>
      <c r="D48" s="141">
        <f t="shared" si="9"/>
        <v>0.23423913043478259</v>
      </c>
      <c r="E48" s="141">
        <f t="shared" si="9"/>
        <v>0.3082342580361076</v>
      </c>
      <c r="F48" s="150">
        <f t="shared" si="9"/>
        <v>0.2413328845506563</v>
      </c>
      <c r="G48" s="142">
        <f t="shared" si="9"/>
        <v>8.459869848267354E-2</v>
      </c>
      <c r="H48" s="142">
        <f t="shared" si="9"/>
        <v>0.3504999999860014</v>
      </c>
      <c r="I48" s="142">
        <f t="shared" si="9"/>
        <v>0.31583857832061102</v>
      </c>
      <c r="J48" s="142">
        <f t="shared" si="9"/>
        <v>0.27583126997455604</v>
      </c>
      <c r="K48" s="142">
        <f t="shared" si="9"/>
        <v>0.22562940332805764</v>
      </c>
      <c r="L48" s="142">
        <f t="shared" si="9"/>
        <v>0.20245610697330393</v>
      </c>
      <c r="M48" s="142">
        <f t="shared" si="9"/>
        <v>0.18011833638008068</v>
      </c>
      <c r="N48" s="142">
        <f t="shared" si="9"/>
        <v>0.16320674249187328</v>
      </c>
      <c r="O48" s="142">
        <f t="shared" si="9"/>
        <v>0.14938296710967758</v>
      </c>
      <c r="P48" s="142">
        <f t="shared" si="9"/>
        <v>0.13594263015462504</v>
      </c>
    </row>
    <row r="49" spans="1:16" x14ac:dyDescent="0.3">
      <c r="A49" s="114" t="s">
        <v>233</v>
      </c>
      <c r="B49" s="109"/>
      <c r="C49" s="109"/>
      <c r="D49" s="109"/>
      <c r="E49" s="109"/>
      <c r="F49" s="151"/>
      <c r="G49" s="109"/>
      <c r="H49" s="109"/>
      <c r="I49" s="109"/>
      <c r="J49" s="109"/>
      <c r="K49" s="109"/>
      <c r="L49" s="109"/>
      <c r="M49" s="109"/>
      <c r="N49" s="109"/>
      <c r="O49" s="109"/>
      <c r="P49" s="109"/>
    </row>
    <row r="50" spans="1:16" x14ac:dyDescent="0.3">
      <c r="A50" s="108" t="s">
        <v>234</v>
      </c>
      <c r="B50" s="112">
        <f t="shared" ref="B50:P50" si="10">B10/B6</f>
        <v>0.46052631578947367</v>
      </c>
      <c r="C50" s="110">
        <f t="shared" si="10"/>
        <v>0.39130434782608697</v>
      </c>
      <c r="D50" s="110">
        <f t="shared" si="10"/>
        <v>0.36107441655658301</v>
      </c>
      <c r="E50" s="110">
        <f t="shared" si="10"/>
        <v>0.33658700774150113</v>
      </c>
      <c r="F50" s="149">
        <f t="shared" si="10"/>
        <v>0.3397505422993492</v>
      </c>
      <c r="G50" s="111">
        <f t="shared" si="10"/>
        <v>0.43750000000182654</v>
      </c>
      <c r="H50" s="111">
        <f t="shared" si="10"/>
        <v>0.44427989633189507</v>
      </c>
      <c r="I50" s="111">
        <f t="shared" si="10"/>
        <v>0.43611848917612156</v>
      </c>
      <c r="J50" s="111">
        <f t="shared" si="10"/>
        <v>0.43004526457371006</v>
      </c>
      <c r="K50" s="111">
        <f t="shared" si="10"/>
        <v>0.42285186403018271</v>
      </c>
      <c r="L50" s="111">
        <f t="shared" si="10"/>
        <v>0.41495502136170137</v>
      </c>
      <c r="M50" s="111">
        <f t="shared" si="10"/>
        <v>0.40788098103455439</v>
      </c>
      <c r="N50" s="111">
        <f t="shared" si="10"/>
        <v>0.39974348616934763</v>
      </c>
      <c r="O50" s="111">
        <f t="shared" si="10"/>
        <v>0.39300229105296919</v>
      </c>
      <c r="P50" s="111">
        <f t="shared" si="10"/>
        <v>0.38748661622058356</v>
      </c>
    </row>
    <row r="51" spans="1:16" x14ac:dyDescent="0.3">
      <c r="A51" s="108" t="s">
        <v>235</v>
      </c>
      <c r="B51" s="110">
        <f t="shared" ref="B51:P51" si="11">B11/B6</f>
        <v>0.41666666666666663</v>
      </c>
      <c r="C51" s="110">
        <f t="shared" si="11"/>
        <v>0.40760869565217389</v>
      </c>
      <c r="D51" s="110">
        <f t="shared" si="11"/>
        <v>0.39630118890356675</v>
      </c>
      <c r="E51" s="110">
        <f t="shared" si="11"/>
        <v>0.35341635812857619</v>
      </c>
      <c r="F51" s="149">
        <f t="shared" si="11"/>
        <v>0.29826464208242948</v>
      </c>
      <c r="G51" s="111">
        <f t="shared" si="11"/>
        <v>0.16249999999733342</v>
      </c>
      <c r="H51" s="111">
        <f t="shared" si="11"/>
        <v>0.12995186967711164</v>
      </c>
      <c r="I51" s="111">
        <f t="shared" si="11"/>
        <v>0.10666051411139281</v>
      </c>
      <c r="J51" s="111">
        <f t="shared" si="11"/>
        <v>9.0288863387555582E-2</v>
      </c>
      <c r="K51" s="111">
        <f t="shared" si="11"/>
        <v>8.1421801728936122E-2</v>
      </c>
      <c r="L51" s="111">
        <f t="shared" si="11"/>
        <v>7.4484200614416421E-2</v>
      </c>
      <c r="M51" s="111">
        <f t="shared" si="11"/>
        <v>6.8165144277244308E-2</v>
      </c>
      <c r="N51" s="111">
        <f t="shared" si="11"/>
        <v>6.3289141242179645E-2</v>
      </c>
      <c r="O51" s="111">
        <f t="shared" si="11"/>
        <v>5.8918030862615212E-2</v>
      </c>
      <c r="P51" s="111">
        <f t="shared" si="11"/>
        <v>5.5497778980631213E-2</v>
      </c>
    </row>
    <row r="52" spans="1:16" x14ac:dyDescent="0.3">
      <c r="A52" s="108" t="s">
        <v>236</v>
      </c>
      <c r="B52" s="110">
        <f t="shared" ref="B52:P52" si="12">B12/B6</f>
        <v>5.4824561403508769E-2</v>
      </c>
      <c r="C52" s="110">
        <f t="shared" si="12"/>
        <v>0.10869565217391304</v>
      </c>
      <c r="D52" s="110">
        <f t="shared" si="12"/>
        <v>0.13210039630118892</v>
      </c>
      <c r="E52" s="110">
        <f t="shared" si="12"/>
        <v>0.15483002356109052</v>
      </c>
      <c r="F52" s="149">
        <f t="shared" si="12"/>
        <v>0.21691973969631237</v>
      </c>
      <c r="G52" s="111">
        <f t="shared" si="12"/>
        <v>0.21249999999978217</v>
      </c>
      <c r="H52" s="111">
        <f t="shared" si="12"/>
        <v>0.25916327285969576</v>
      </c>
      <c r="I52" s="111">
        <f t="shared" si="12"/>
        <v>0.29543510556263985</v>
      </c>
      <c r="J52" s="111">
        <f t="shared" si="12"/>
        <v>0.33080404967706206</v>
      </c>
      <c r="K52" s="111">
        <f t="shared" si="12"/>
        <v>0.3508770786768346</v>
      </c>
      <c r="L52" s="111">
        <f t="shared" si="12"/>
        <v>0.36475040195024816</v>
      </c>
      <c r="M52" s="111">
        <f t="shared" si="12"/>
        <v>0.37707700716208775</v>
      </c>
      <c r="N52" s="111">
        <f t="shared" si="12"/>
        <v>0.38900428622443833</v>
      </c>
      <c r="O52" s="111">
        <f t="shared" si="12"/>
        <v>0.39936650435940879</v>
      </c>
      <c r="P52" s="111">
        <f t="shared" si="12"/>
        <v>0.40782442066977831</v>
      </c>
    </row>
    <row r="53" spans="1:16" x14ac:dyDescent="0.3">
      <c r="A53" s="108" t="s">
        <v>237</v>
      </c>
      <c r="B53" s="110">
        <f t="shared" ref="B53:P53" si="13">B13/B6</f>
        <v>4.3859649122807015E-2</v>
      </c>
      <c r="C53" s="110">
        <f t="shared" si="13"/>
        <v>6.5217391304347824E-2</v>
      </c>
      <c r="D53" s="110">
        <f t="shared" si="13"/>
        <v>7.9260237780713338E-2</v>
      </c>
      <c r="E53" s="110">
        <f t="shared" si="13"/>
        <v>9.4244362167620319E-2</v>
      </c>
      <c r="F53" s="149">
        <f t="shared" si="13"/>
        <v>9.4902386117136653E-2</v>
      </c>
      <c r="G53" s="111">
        <f t="shared" si="13"/>
        <v>3.7500000002461557E-2</v>
      </c>
      <c r="H53" s="111">
        <f t="shared" si="13"/>
        <v>3.7023324696446022E-2</v>
      </c>
      <c r="I53" s="111">
        <f t="shared" si="13"/>
        <v>3.5170845902407766E-2</v>
      </c>
      <c r="J53" s="111">
        <f t="shared" si="13"/>
        <v>3.3080404969013662E-2</v>
      </c>
      <c r="K53" s="111">
        <f t="shared" si="13"/>
        <v>3.1488968601347346E-2</v>
      </c>
      <c r="L53" s="111">
        <f t="shared" si="13"/>
        <v>2.9853417515499341E-2</v>
      </c>
      <c r="M53" s="111">
        <f t="shared" si="13"/>
        <v>2.8585575490667935E-2</v>
      </c>
      <c r="N53" s="111">
        <f t="shared" si="13"/>
        <v>2.752377834482142E-2</v>
      </c>
      <c r="O53" s="111">
        <f t="shared" si="13"/>
        <v>2.6341225723431588E-2</v>
      </c>
      <c r="P53" s="111">
        <f t="shared" si="13"/>
        <v>2.5507756753376368E-2</v>
      </c>
    </row>
    <row r="54" spans="1:16" x14ac:dyDescent="0.3">
      <c r="A54" s="108" t="s">
        <v>238</v>
      </c>
      <c r="B54" s="110">
        <f t="shared" ref="B54:P54" si="14">B14/B6</f>
        <v>0</v>
      </c>
      <c r="C54" s="110">
        <f t="shared" si="14"/>
        <v>0</v>
      </c>
      <c r="D54" s="110">
        <f t="shared" si="14"/>
        <v>1.3210039630118891E-2</v>
      </c>
      <c r="E54" s="110">
        <f t="shared" si="14"/>
        <v>3.3658700774150112E-2</v>
      </c>
      <c r="F54" s="149">
        <f t="shared" si="14"/>
        <v>4.0672451193058567E-2</v>
      </c>
      <c r="G54" s="111">
        <f t="shared" si="14"/>
        <v>4.2499999998706434E-2</v>
      </c>
      <c r="H54" s="111">
        <f t="shared" si="14"/>
        <v>4.0725657164491724E-2</v>
      </c>
      <c r="I54" s="111">
        <f t="shared" si="14"/>
        <v>3.9391347408306084E-2</v>
      </c>
      <c r="J54" s="111">
        <f t="shared" si="14"/>
        <v>3.8593805794840397E-2</v>
      </c>
      <c r="K54" s="111">
        <f t="shared" si="14"/>
        <v>3.778676231824396E-2</v>
      </c>
      <c r="L54" s="111">
        <f t="shared" si="14"/>
        <v>3.7395333516077045E-2</v>
      </c>
      <c r="M54" s="111">
        <f t="shared" si="14"/>
        <v>3.7074705870614288E-2</v>
      </c>
      <c r="N54" s="111">
        <f t="shared" si="14"/>
        <v>3.665376944073577E-2</v>
      </c>
      <c r="O54" s="111">
        <f t="shared" si="14"/>
        <v>3.6354547055378023E-2</v>
      </c>
      <c r="P54" s="111">
        <f t="shared" si="14"/>
        <v>3.58443213778155E-2</v>
      </c>
    </row>
    <row r="55" spans="1:16" x14ac:dyDescent="0.3">
      <c r="A55" s="137" t="s">
        <v>239</v>
      </c>
      <c r="B55" s="138">
        <f t="shared" ref="B55:P55" si="15">B15/B6</f>
        <v>0</v>
      </c>
      <c r="C55" s="138">
        <f t="shared" si="15"/>
        <v>0</v>
      </c>
      <c r="D55" s="138">
        <f t="shared" si="15"/>
        <v>0</v>
      </c>
      <c r="E55" s="138">
        <f t="shared" si="15"/>
        <v>0</v>
      </c>
      <c r="F55" s="152">
        <f t="shared" si="15"/>
        <v>0</v>
      </c>
      <c r="G55" s="139">
        <f t="shared" si="15"/>
        <v>0.10749999999988981</v>
      </c>
      <c r="H55" s="139">
        <f t="shared" si="15"/>
        <v>8.8855979270359764E-2</v>
      </c>
      <c r="I55" s="139">
        <f t="shared" si="15"/>
        <v>8.722369783913192E-2</v>
      </c>
      <c r="J55" s="139">
        <f t="shared" si="15"/>
        <v>7.7187611597818229E-2</v>
      </c>
      <c r="K55" s="139">
        <f t="shared" si="15"/>
        <v>7.5573524644455201E-2</v>
      </c>
      <c r="L55" s="139">
        <f t="shared" si="15"/>
        <v>7.856162504205759E-2</v>
      </c>
      <c r="M55" s="139">
        <f t="shared" si="15"/>
        <v>8.121658616483135E-2</v>
      </c>
      <c r="N55" s="139">
        <f t="shared" si="15"/>
        <v>8.3785538578477176E-2</v>
      </c>
      <c r="O55" s="139">
        <f t="shared" si="15"/>
        <v>8.6017400946197323E-2</v>
      </c>
      <c r="P55" s="139">
        <f t="shared" si="15"/>
        <v>8.7839105997815012E-2</v>
      </c>
    </row>
    <row r="56" spans="1:16" x14ac:dyDescent="0.3">
      <c r="A56" s="109"/>
      <c r="B56" s="109"/>
      <c r="C56" s="109"/>
      <c r="D56" s="109"/>
      <c r="E56" s="109"/>
      <c r="F56" s="109"/>
      <c r="G56" s="109"/>
      <c r="H56" s="109"/>
      <c r="I56" s="109"/>
      <c r="J56" s="109"/>
      <c r="K56" s="109"/>
      <c r="L56" s="109"/>
      <c r="M56" s="109"/>
      <c r="N56" s="109"/>
      <c r="O56" s="109"/>
      <c r="P56" s="109"/>
    </row>
    <row r="57" spans="1:16" ht="15" thickBot="1" x14ac:dyDescent="0.35">
      <c r="A57" s="10"/>
      <c r="B57" s="10"/>
      <c r="C57" s="10"/>
      <c r="D57" s="10"/>
      <c r="E57" s="10"/>
      <c r="F57" s="10"/>
      <c r="G57" s="10"/>
      <c r="H57" s="10"/>
      <c r="I57" s="10"/>
      <c r="J57" s="10"/>
      <c r="K57" s="10"/>
      <c r="L57" s="10"/>
      <c r="M57" s="10"/>
      <c r="N57" s="10"/>
      <c r="O57" s="10"/>
      <c r="P57" s="10"/>
    </row>
    <row r="58" spans="1:16" x14ac:dyDescent="0.3">
      <c r="A58" s="121" t="s">
        <v>245</v>
      </c>
      <c r="B58" s="122"/>
      <c r="C58" s="122"/>
      <c r="D58" s="122"/>
      <c r="E58" s="122"/>
      <c r="F58" s="122"/>
      <c r="G58" s="122"/>
      <c r="H58" s="122"/>
      <c r="I58" s="122"/>
      <c r="J58" s="122"/>
      <c r="K58" s="122"/>
      <c r="L58" s="123"/>
      <c r="M58" s="123"/>
      <c r="N58" s="123"/>
      <c r="O58" s="123"/>
      <c r="P58" s="123"/>
    </row>
    <row r="59" spans="1:16" x14ac:dyDescent="0.3">
      <c r="A59" s="115" t="s">
        <v>200</v>
      </c>
      <c r="B59" s="56"/>
      <c r="C59" s="56"/>
      <c r="D59" s="56"/>
      <c r="E59" s="56"/>
      <c r="F59" s="56"/>
      <c r="G59" s="56"/>
      <c r="H59" s="56"/>
      <c r="I59" s="56"/>
      <c r="J59" s="56"/>
      <c r="K59" s="56"/>
      <c r="L59" s="56"/>
      <c r="M59" s="56"/>
      <c r="N59" s="56"/>
      <c r="O59" s="56"/>
      <c r="P59" s="56"/>
    </row>
    <row r="60" spans="1:16" x14ac:dyDescent="0.3">
      <c r="A60" s="56" t="s">
        <v>221</v>
      </c>
      <c r="B60" s="56"/>
      <c r="C60" s="56"/>
      <c r="D60" s="56"/>
      <c r="E60" s="56"/>
      <c r="F60" s="56"/>
      <c r="G60" s="56"/>
      <c r="H60" s="56"/>
      <c r="I60" s="56"/>
      <c r="J60" s="56"/>
      <c r="K60" s="56"/>
      <c r="L60" s="56"/>
      <c r="M60" s="56"/>
      <c r="N60" s="56"/>
      <c r="O60" s="56"/>
      <c r="P60" s="56"/>
    </row>
    <row r="61" spans="1:16" x14ac:dyDescent="0.3">
      <c r="A61" s="56" t="s">
        <v>201</v>
      </c>
      <c r="B61" s="56"/>
      <c r="C61" s="56"/>
      <c r="D61" s="56"/>
      <c r="E61" s="56"/>
      <c r="F61" s="56"/>
      <c r="G61" s="56"/>
      <c r="H61" s="56"/>
      <c r="I61" s="56"/>
      <c r="J61" s="56"/>
      <c r="K61" s="56"/>
      <c r="L61" s="56"/>
      <c r="M61" s="56"/>
      <c r="N61" s="56"/>
      <c r="O61" s="56"/>
      <c r="P61" s="56"/>
    </row>
    <row r="62" spans="1:16" x14ac:dyDescent="0.3">
      <c r="A62" s="56" t="s">
        <v>286</v>
      </c>
      <c r="B62" s="56"/>
      <c r="C62" s="56"/>
      <c r="D62" s="56"/>
      <c r="E62" s="56"/>
      <c r="F62" s="56"/>
      <c r="G62" s="56"/>
      <c r="H62" s="56"/>
      <c r="I62" s="56"/>
      <c r="J62" s="56"/>
      <c r="K62" s="56"/>
      <c r="L62" s="56"/>
      <c r="M62" s="56"/>
      <c r="N62" s="56"/>
      <c r="O62" s="56"/>
      <c r="P62" s="56"/>
    </row>
    <row r="63" spans="1:16" x14ac:dyDescent="0.3">
      <c r="A63" s="56" t="s">
        <v>202</v>
      </c>
      <c r="B63" s="56"/>
      <c r="C63" s="56"/>
      <c r="D63" s="56"/>
      <c r="E63" s="56"/>
      <c r="F63" s="56"/>
      <c r="G63" s="56"/>
      <c r="H63" s="56"/>
      <c r="I63" s="56"/>
      <c r="J63" s="56"/>
      <c r="K63" s="56"/>
      <c r="L63" s="56"/>
      <c r="M63" s="56"/>
      <c r="N63" s="56"/>
      <c r="O63" s="56"/>
      <c r="P63" s="56"/>
    </row>
    <row r="64" spans="1:16" x14ac:dyDescent="0.3">
      <c r="A64" s="56"/>
      <c r="B64" s="56"/>
      <c r="C64" s="56"/>
      <c r="D64" s="56"/>
      <c r="E64" s="56"/>
      <c r="F64" s="56"/>
      <c r="G64" s="56"/>
      <c r="H64" s="56"/>
      <c r="I64" s="56"/>
      <c r="J64" s="56"/>
      <c r="K64" s="56"/>
      <c r="L64" s="56"/>
      <c r="M64" s="56"/>
      <c r="N64" s="56"/>
      <c r="O64" s="56"/>
      <c r="P64" s="56"/>
    </row>
    <row r="65" spans="1:16" x14ac:dyDescent="0.3">
      <c r="A65" s="115" t="s">
        <v>38</v>
      </c>
      <c r="B65" s="56"/>
      <c r="C65" s="56"/>
      <c r="D65" s="56"/>
      <c r="E65" s="56"/>
      <c r="F65" s="56"/>
      <c r="G65" s="56"/>
      <c r="H65" s="56"/>
      <c r="I65" s="56"/>
      <c r="J65" s="56"/>
      <c r="K65" s="56"/>
      <c r="L65" s="56"/>
      <c r="M65" s="56"/>
      <c r="N65" s="56"/>
      <c r="O65" s="56"/>
      <c r="P65" s="56"/>
    </row>
    <row r="66" spans="1:16" x14ac:dyDescent="0.3">
      <c r="A66" s="56" t="s">
        <v>203</v>
      </c>
      <c r="B66" s="56"/>
      <c r="C66" s="56"/>
      <c r="D66" s="56"/>
      <c r="E66" s="56"/>
      <c r="F66" s="56"/>
      <c r="G66" s="56"/>
      <c r="H66" s="56"/>
      <c r="I66" s="56"/>
      <c r="J66" s="56"/>
      <c r="K66" s="56"/>
      <c r="L66" s="56"/>
      <c r="M66" s="56"/>
      <c r="N66" s="56"/>
      <c r="O66" s="56"/>
      <c r="P66" s="56"/>
    </row>
    <row r="67" spans="1:16" x14ac:dyDescent="0.3">
      <c r="A67" s="56" t="s">
        <v>204</v>
      </c>
      <c r="B67" s="56"/>
      <c r="C67" s="56"/>
      <c r="D67" s="56"/>
      <c r="E67" s="56"/>
      <c r="F67" s="56"/>
      <c r="G67" s="56"/>
      <c r="H67" s="56"/>
      <c r="I67" s="56"/>
      <c r="J67" s="56"/>
      <c r="K67" s="56"/>
      <c r="L67" s="56"/>
      <c r="M67" s="56"/>
      <c r="N67" s="56"/>
      <c r="O67" s="56"/>
      <c r="P67" s="56"/>
    </row>
    <row r="68" spans="1:16" x14ac:dyDescent="0.3">
      <c r="A68" s="56" t="s">
        <v>205</v>
      </c>
      <c r="B68" s="56"/>
      <c r="C68" s="56"/>
      <c r="D68" s="56"/>
      <c r="E68" s="56"/>
      <c r="F68" s="56"/>
      <c r="G68" s="56"/>
      <c r="H68" s="56"/>
      <c r="I68" s="56"/>
      <c r="J68" s="56"/>
      <c r="K68" s="56"/>
      <c r="L68" s="56"/>
      <c r="M68" s="56"/>
      <c r="N68" s="56"/>
      <c r="O68" s="56"/>
      <c r="P68" s="56"/>
    </row>
    <row r="69" spans="1:16" x14ac:dyDescent="0.3">
      <c r="A69" s="56" t="s">
        <v>287</v>
      </c>
      <c r="B69" s="56"/>
      <c r="C69" s="56"/>
      <c r="D69" s="56"/>
      <c r="E69" s="56"/>
      <c r="F69" s="56"/>
      <c r="G69" s="56"/>
      <c r="H69" s="56"/>
      <c r="I69" s="56"/>
      <c r="J69" s="56"/>
      <c r="K69" s="56"/>
      <c r="L69" s="56"/>
      <c r="M69" s="56"/>
      <c r="N69" s="56"/>
      <c r="O69" s="56"/>
      <c r="P69" s="56"/>
    </row>
    <row r="70" spans="1:16" x14ac:dyDescent="0.3">
      <c r="A70" s="115"/>
      <c r="B70" s="56"/>
      <c r="C70" s="56"/>
      <c r="D70" s="56"/>
      <c r="E70" s="56"/>
      <c r="F70" s="56"/>
      <c r="G70" s="56"/>
      <c r="H70" s="56"/>
      <c r="I70" s="56"/>
      <c r="J70" s="56"/>
      <c r="K70" s="56"/>
      <c r="L70" s="56"/>
      <c r="M70" s="56"/>
      <c r="N70" s="56"/>
      <c r="O70" s="56"/>
      <c r="P70" s="56"/>
    </row>
    <row r="71" spans="1:16" x14ac:dyDescent="0.3">
      <c r="A71" s="56" t="s">
        <v>206</v>
      </c>
      <c r="B71" s="56"/>
      <c r="C71" s="56"/>
      <c r="D71" s="56"/>
      <c r="E71" s="56"/>
      <c r="F71" s="56"/>
      <c r="G71" s="56"/>
      <c r="H71" s="56"/>
      <c r="I71" s="56"/>
      <c r="J71" s="56"/>
      <c r="K71" s="56"/>
      <c r="L71" s="56"/>
      <c r="M71" s="56"/>
      <c r="N71" s="56"/>
      <c r="O71" s="56"/>
      <c r="P71" s="56"/>
    </row>
    <row r="72" spans="1:16" x14ac:dyDescent="0.3">
      <c r="A72" s="56" t="s">
        <v>207</v>
      </c>
      <c r="B72" s="56"/>
      <c r="C72" s="56"/>
      <c r="D72" s="56"/>
      <c r="E72" s="56"/>
      <c r="F72" s="56"/>
      <c r="G72" s="56"/>
      <c r="H72" s="56"/>
      <c r="I72" s="56"/>
      <c r="J72" s="56"/>
      <c r="K72" s="56"/>
      <c r="L72" s="56"/>
      <c r="M72" s="56"/>
      <c r="N72" s="56"/>
      <c r="O72" s="56"/>
      <c r="P72" s="56"/>
    </row>
    <row r="73" spans="1:16" x14ac:dyDescent="0.3">
      <c r="A73" s="56" t="s">
        <v>210</v>
      </c>
      <c r="B73" s="56"/>
      <c r="C73" s="56"/>
      <c r="D73" s="56"/>
      <c r="E73" s="56"/>
      <c r="F73" s="56"/>
      <c r="G73" s="56"/>
      <c r="H73" s="56"/>
      <c r="I73" s="56"/>
      <c r="J73" s="56"/>
      <c r="K73" s="56"/>
      <c r="L73" s="56"/>
      <c r="M73" s="56"/>
      <c r="N73" s="56"/>
      <c r="O73" s="56"/>
      <c r="P73" s="56"/>
    </row>
    <row r="74" spans="1:16" x14ac:dyDescent="0.3">
      <c r="A74" s="56" t="s">
        <v>208</v>
      </c>
      <c r="B74" s="56"/>
      <c r="C74" s="56"/>
      <c r="D74" s="56"/>
      <c r="E74" s="56"/>
      <c r="F74" s="56"/>
      <c r="G74" s="56"/>
      <c r="H74" s="56"/>
      <c r="I74" s="56"/>
      <c r="J74" s="56"/>
      <c r="K74" s="56"/>
      <c r="L74" s="56"/>
      <c r="M74" s="56"/>
      <c r="N74" s="56"/>
      <c r="O74" s="56"/>
      <c r="P74" s="56"/>
    </row>
    <row r="75" spans="1:16" x14ac:dyDescent="0.3">
      <c r="A75" s="116"/>
      <c r="B75" s="56"/>
      <c r="C75" s="56"/>
      <c r="D75" s="56"/>
      <c r="E75" s="56"/>
      <c r="F75" s="56"/>
      <c r="G75" s="56"/>
      <c r="H75" s="56"/>
      <c r="I75" s="56"/>
      <c r="J75" s="56"/>
      <c r="K75" s="56"/>
      <c r="L75" s="56"/>
      <c r="M75" s="56"/>
      <c r="N75" s="56"/>
      <c r="O75" s="56"/>
      <c r="P75" s="56"/>
    </row>
    <row r="76" spans="1:16" x14ac:dyDescent="0.3">
      <c r="A76" s="56" t="s">
        <v>39</v>
      </c>
      <c r="B76" s="56"/>
      <c r="C76" s="56"/>
      <c r="D76" s="56"/>
      <c r="E76" s="56"/>
      <c r="F76" s="56"/>
      <c r="G76" s="56"/>
      <c r="H76" s="56"/>
      <c r="I76" s="56"/>
      <c r="J76" s="56"/>
      <c r="K76" s="56"/>
      <c r="L76" s="56"/>
      <c r="M76" s="56"/>
      <c r="N76" s="56"/>
      <c r="O76" s="56"/>
      <c r="P76" s="56"/>
    </row>
    <row r="77" spans="1:16" x14ac:dyDescent="0.3">
      <c r="A77" s="56" t="s">
        <v>209</v>
      </c>
      <c r="B77" s="56"/>
      <c r="C77" s="56"/>
      <c r="D77" s="56"/>
      <c r="E77" s="56"/>
      <c r="F77" s="56"/>
      <c r="G77" s="56"/>
      <c r="H77" s="56"/>
      <c r="I77" s="56"/>
      <c r="J77" s="56"/>
      <c r="K77" s="56"/>
      <c r="L77" s="56"/>
      <c r="M77" s="56"/>
      <c r="N77" s="56"/>
      <c r="O77" s="56"/>
      <c r="P77" s="56"/>
    </row>
  </sheetData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403AE0-CC4C-43A4-BDC8-C87F40EEF244}">
  <sheetPr>
    <tabColor rgb="FF375623"/>
  </sheetPr>
  <dimension ref="A1:Q30"/>
  <sheetViews>
    <sheetView showGridLines="0" zoomScale="101" workbookViewId="0">
      <pane xSplit="2" ySplit="4" topLeftCell="C5" activePane="bottomRight" state="frozen"/>
      <selection pane="topRight" activeCell="C1" sqref="C1"/>
      <selection pane="bottomLeft" activeCell="A5" sqref="A5"/>
      <selection pane="bottomRight"/>
    </sheetView>
  </sheetViews>
  <sheetFormatPr defaultRowHeight="14.4" x14ac:dyDescent="0.3"/>
  <cols>
    <col min="1" max="1" width="38.88671875" customWidth="1"/>
    <col min="2" max="2" width="1.88671875" customWidth="1"/>
    <col min="3" max="17" width="13.33203125" customWidth="1"/>
  </cols>
  <sheetData>
    <row r="1" spans="1:17" ht="17.399999999999999" x14ac:dyDescent="0.35">
      <c r="A1" s="21" t="s">
        <v>40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</row>
    <row r="2" spans="1:17" x14ac:dyDescent="0.3">
      <c r="A2" s="22" t="s">
        <v>41</v>
      </c>
    </row>
    <row r="4" spans="1:17" ht="15" thickBot="1" x14ac:dyDescent="0.35">
      <c r="A4" s="23" t="s">
        <v>42</v>
      </c>
      <c r="B4" s="24"/>
      <c r="C4" s="25" t="s">
        <v>4</v>
      </c>
      <c r="D4" s="25" t="s">
        <v>5</v>
      </c>
      <c r="E4" s="25" t="s">
        <v>6</v>
      </c>
      <c r="F4" s="25" t="s">
        <v>7</v>
      </c>
      <c r="G4" s="40" t="s">
        <v>8</v>
      </c>
      <c r="H4" s="26" t="s">
        <v>9</v>
      </c>
      <c r="I4" s="26" t="s">
        <v>10</v>
      </c>
      <c r="J4" s="26" t="s">
        <v>11</v>
      </c>
      <c r="K4" s="26" t="s">
        <v>12</v>
      </c>
      <c r="L4" s="26" t="s">
        <v>13</v>
      </c>
      <c r="M4" s="26" t="s">
        <v>240</v>
      </c>
      <c r="N4" s="26" t="s">
        <v>241</v>
      </c>
      <c r="O4" s="26" t="s">
        <v>242</v>
      </c>
      <c r="P4" s="26" t="s">
        <v>243</v>
      </c>
      <c r="Q4" s="26" t="s">
        <v>244</v>
      </c>
    </row>
    <row r="5" spans="1:17" x14ac:dyDescent="0.3">
      <c r="A5" s="9" t="s">
        <v>43</v>
      </c>
      <c r="B5" s="10"/>
      <c r="C5" s="230">
        <v>91.2</v>
      </c>
      <c r="D5" s="230">
        <v>184</v>
      </c>
      <c r="E5" s="230">
        <v>227.1</v>
      </c>
      <c r="F5" s="230">
        <v>297.10000000000002</v>
      </c>
      <c r="G5" s="231">
        <v>368.8</v>
      </c>
      <c r="H5" s="230">
        <f>Assumptions!G6</f>
        <v>400.00000000041001</v>
      </c>
      <c r="I5" s="230">
        <f>Assumptions!H6</f>
        <v>540.19999999495428</v>
      </c>
      <c r="J5" s="230">
        <f>Assumptions!I6</f>
        <v>710.81600000215474</v>
      </c>
      <c r="K5" s="230">
        <f>Assumptions!J6</f>
        <v>906.88128000098311</v>
      </c>
      <c r="L5" s="230">
        <f>Assumptions!K6</f>
        <v>1111.5003620969901</v>
      </c>
      <c r="M5" s="230">
        <f>Assumptions!L6</f>
        <v>1336.5303983065644</v>
      </c>
      <c r="N5" s="230">
        <f>Assumptions!M6</f>
        <v>1577.2640301709494</v>
      </c>
      <c r="O5" s="230">
        <f>Assumptions!N6</f>
        <v>1834.6841545847537</v>
      </c>
      <c r="P5" s="230">
        <f>Assumptions!O6</f>
        <v>2108.7547173057346</v>
      </c>
      <c r="Q5" s="230">
        <f>Assumptions!P6</f>
        <v>2395.424379927249</v>
      </c>
    </row>
    <row r="6" spans="1:17" x14ac:dyDescent="0.3">
      <c r="A6" s="10" t="s">
        <v>44</v>
      </c>
      <c r="B6" s="10"/>
      <c r="C6" s="12">
        <v>0.28000000000000003</v>
      </c>
      <c r="D6" s="12">
        <v>0.57999999999999996</v>
      </c>
      <c r="E6" s="12">
        <v>0.23400000000000001</v>
      </c>
      <c r="F6" s="12">
        <v>0.308</v>
      </c>
      <c r="G6" s="42">
        <v>0.24099999999999999</v>
      </c>
      <c r="H6" s="12">
        <f t="shared" ref="H6:Q6" si="0">(H5-G5)/G5</f>
        <v>8.459869848267354E-2</v>
      </c>
      <c r="I6" s="12">
        <f t="shared" si="0"/>
        <v>0.3504999999860014</v>
      </c>
      <c r="J6" s="12">
        <f t="shared" si="0"/>
        <v>0.31583857832061102</v>
      </c>
      <c r="K6" s="12">
        <f t="shared" si="0"/>
        <v>0.27583126997455604</v>
      </c>
      <c r="L6" s="12">
        <f t="shared" si="0"/>
        <v>0.22562940332805764</v>
      </c>
      <c r="M6" s="12">
        <f t="shared" si="0"/>
        <v>0.20245610697330393</v>
      </c>
      <c r="N6" s="12">
        <f t="shared" si="0"/>
        <v>0.18011833638008068</v>
      </c>
      <c r="O6" s="12">
        <f t="shared" si="0"/>
        <v>0.16320674249187328</v>
      </c>
      <c r="P6" s="12">
        <f t="shared" si="0"/>
        <v>0.14938296710967758</v>
      </c>
      <c r="Q6" s="12">
        <f t="shared" si="0"/>
        <v>0.13594263015462504</v>
      </c>
    </row>
    <row r="7" spans="1:17" x14ac:dyDescent="0.3">
      <c r="A7" s="10" t="s">
        <v>45</v>
      </c>
      <c r="B7" s="10"/>
      <c r="C7" s="230">
        <v>2.2000000000000002</v>
      </c>
      <c r="D7" s="230">
        <v>5</v>
      </c>
      <c r="E7" s="230">
        <v>4.0999999999999996</v>
      </c>
      <c r="F7" s="230">
        <v>8.1</v>
      </c>
      <c r="G7" s="231">
        <v>17.2</v>
      </c>
      <c r="H7" s="230">
        <v>10</v>
      </c>
      <c r="I7" s="230">
        <v>12</v>
      </c>
      <c r="J7" s="230">
        <v>14</v>
      </c>
      <c r="K7" s="230">
        <v>16</v>
      </c>
      <c r="L7" s="230">
        <v>18</v>
      </c>
      <c r="M7" s="230">
        <v>20</v>
      </c>
      <c r="N7" s="230">
        <v>22</v>
      </c>
      <c r="O7" s="230">
        <v>24</v>
      </c>
      <c r="P7" s="230">
        <v>26</v>
      </c>
      <c r="Q7" s="230">
        <v>28</v>
      </c>
    </row>
    <row r="8" spans="1:17" x14ac:dyDescent="0.3">
      <c r="A8" s="27" t="s">
        <v>46</v>
      </c>
      <c r="B8" s="28"/>
      <c r="C8" s="232">
        <f t="shared" ref="C8:L8" si="1">C5+C7</f>
        <v>93.4</v>
      </c>
      <c r="D8" s="232">
        <f t="shared" si="1"/>
        <v>189</v>
      </c>
      <c r="E8" s="232">
        <f t="shared" si="1"/>
        <v>231.2</v>
      </c>
      <c r="F8" s="232">
        <f t="shared" si="1"/>
        <v>305.20000000000005</v>
      </c>
      <c r="G8" s="233">
        <f t="shared" si="1"/>
        <v>386</v>
      </c>
      <c r="H8" s="232">
        <f t="shared" si="1"/>
        <v>410.00000000041001</v>
      </c>
      <c r="I8" s="232">
        <f t="shared" si="1"/>
        <v>552.19999999495428</v>
      </c>
      <c r="J8" s="232">
        <f t="shared" si="1"/>
        <v>724.81600000215474</v>
      </c>
      <c r="K8" s="232">
        <f t="shared" si="1"/>
        <v>922.88128000098311</v>
      </c>
      <c r="L8" s="232">
        <f t="shared" si="1"/>
        <v>1129.5003620969901</v>
      </c>
      <c r="M8" s="232">
        <f>M5+M7</f>
        <v>1356.5303983065644</v>
      </c>
      <c r="N8" s="232">
        <f>N5+N7</f>
        <v>1599.2640301709494</v>
      </c>
      <c r="O8" s="232">
        <f>O5+O7</f>
        <v>1858.6841545847537</v>
      </c>
      <c r="P8" s="232">
        <f>P5+P7</f>
        <v>2134.7547173057346</v>
      </c>
      <c r="Q8" s="232">
        <f>Q5+Q7</f>
        <v>2423.424379927249</v>
      </c>
    </row>
    <row r="9" spans="1:17" x14ac:dyDescent="0.3">
      <c r="A9" s="10"/>
      <c r="B9" s="10"/>
      <c r="C9" s="10"/>
      <c r="D9" s="10"/>
      <c r="E9" s="10"/>
      <c r="F9" s="10"/>
      <c r="G9" s="43"/>
      <c r="H9" s="10"/>
      <c r="I9" s="10"/>
      <c r="J9" s="10"/>
      <c r="K9" s="10"/>
      <c r="L9" s="10"/>
      <c r="M9" s="10"/>
      <c r="N9" s="10"/>
      <c r="O9" s="10"/>
      <c r="P9" s="10"/>
      <c r="Q9" s="10"/>
    </row>
    <row r="10" spans="1:17" x14ac:dyDescent="0.3">
      <c r="A10" s="15" t="s">
        <v>47</v>
      </c>
      <c r="B10" s="10"/>
      <c r="C10" s="10"/>
      <c r="D10" s="10"/>
      <c r="E10" s="10"/>
      <c r="F10" s="10"/>
      <c r="G10" s="43"/>
      <c r="H10" s="10"/>
      <c r="I10" s="10"/>
      <c r="J10" s="10"/>
      <c r="K10" s="10"/>
      <c r="L10" s="10"/>
      <c r="M10" s="10"/>
      <c r="N10" s="10"/>
      <c r="O10" s="10"/>
      <c r="P10" s="10"/>
      <c r="Q10" s="10"/>
    </row>
    <row r="11" spans="1:17" x14ac:dyDescent="0.3">
      <c r="A11" s="10" t="s">
        <v>48</v>
      </c>
      <c r="B11" s="10"/>
      <c r="C11" s="230">
        <v>46.5</v>
      </c>
      <c r="D11" s="230">
        <v>93.8</v>
      </c>
      <c r="E11" s="230">
        <v>105.6</v>
      </c>
      <c r="F11" s="230">
        <v>148.6</v>
      </c>
      <c r="G11" s="231">
        <v>177</v>
      </c>
      <c r="H11" s="230">
        <f>H5*Assumptions!G21</f>
        <v>188.0000000001927</v>
      </c>
      <c r="I11" s="230">
        <f>I5*Assumptions!H21</f>
        <v>245.7909999977042</v>
      </c>
      <c r="J11" s="230">
        <f>J5*Assumptions!I21</f>
        <v>312.75904000094806</v>
      </c>
      <c r="K11" s="230">
        <f>K5*Assumptions!J21</f>
        <v>389.95895040042274</v>
      </c>
      <c r="L11" s="230">
        <f>L5*Assumptions!K21</f>
        <v>466.83015208073584</v>
      </c>
      <c r="M11" s="230">
        <f>M5*Assumptions!L21</f>
        <v>547.97746330569134</v>
      </c>
      <c r="N11" s="230">
        <f>N5*Assumptions!M21</f>
        <v>630.90561206837981</v>
      </c>
      <c r="O11" s="230">
        <f>O5*Assumptions!N21</f>
        <v>715.52682028805395</v>
      </c>
      <c r="P11" s="230">
        <f>P5*Assumptions!O21</f>
        <v>811.87056616270786</v>
      </c>
      <c r="Q11" s="230">
        <f>Q5*Assumptions!P21</f>
        <v>910.26126437235462</v>
      </c>
    </row>
    <row r="12" spans="1:17" x14ac:dyDescent="0.3">
      <c r="A12" s="10" t="s">
        <v>49</v>
      </c>
      <c r="B12" s="10"/>
      <c r="C12" s="12">
        <f t="shared" ref="C12:L12" si="2">C11/C5</f>
        <v>0.50986842105263153</v>
      </c>
      <c r="D12" s="12">
        <f t="shared" si="2"/>
        <v>0.50978260869565217</v>
      </c>
      <c r="E12" s="12">
        <f t="shared" si="2"/>
        <v>0.46499339498018494</v>
      </c>
      <c r="F12" s="12">
        <f t="shared" si="2"/>
        <v>0.50016829350387071</v>
      </c>
      <c r="G12" s="42">
        <f t="shared" si="2"/>
        <v>0.47993492407809107</v>
      </c>
      <c r="H12" s="12">
        <f t="shared" si="2"/>
        <v>0.47</v>
      </c>
      <c r="I12" s="12">
        <f t="shared" si="2"/>
        <v>0.45500000000000002</v>
      </c>
      <c r="J12" s="12">
        <f t="shared" si="2"/>
        <v>0.43999999999999995</v>
      </c>
      <c r="K12" s="12">
        <f t="shared" si="2"/>
        <v>0.43</v>
      </c>
      <c r="L12" s="12">
        <f t="shared" si="2"/>
        <v>0.42</v>
      </c>
      <c r="M12" s="12">
        <f>M11/M5</f>
        <v>0.41</v>
      </c>
      <c r="N12" s="12">
        <f>N11/N5</f>
        <v>0.4</v>
      </c>
      <c r="O12" s="12">
        <f>O11/O5</f>
        <v>0.39</v>
      </c>
      <c r="P12" s="12">
        <f>P11/P5</f>
        <v>0.38500000000000001</v>
      </c>
      <c r="Q12" s="12">
        <f>Q11/Q5</f>
        <v>0.38</v>
      </c>
    </row>
    <row r="13" spans="1:17" x14ac:dyDescent="0.3">
      <c r="A13" s="10" t="s">
        <v>50</v>
      </c>
      <c r="B13" s="10"/>
      <c r="C13" s="230">
        <v>9.1</v>
      </c>
      <c r="D13" s="230">
        <v>16.600000000000001</v>
      </c>
      <c r="E13" s="230">
        <v>21.6</v>
      </c>
      <c r="F13" s="230">
        <v>32.700000000000003</v>
      </c>
      <c r="G13" s="231">
        <v>38.700000000000003</v>
      </c>
      <c r="H13" s="230">
        <f>H5*Assumptions!G22</f>
        <v>50.000000000051251</v>
      </c>
      <c r="I13" s="230">
        <f>I5*Assumptions!H22</f>
        <v>62.122999999419747</v>
      </c>
      <c r="J13" s="230">
        <f>J5*Assumptions!I22</f>
        <v>74.635680000226245</v>
      </c>
      <c r="K13" s="230">
        <f>K5*Assumptions!J22</f>
        <v>86.153721600093391</v>
      </c>
      <c r="L13" s="230">
        <f>L5*Assumptions!K22</f>
        <v>100.03503258872911</v>
      </c>
      <c r="M13" s="230">
        <f>M5*Assumptions!L22</f>
        <v>113.60508385605799</v>
      </c>
      <c r="N13" s="230">
        <f>N5*Assumptions!M22</f>
        <v>129.33565047401785</v>
      </c>
      <c r="O13" s="230">
        <f>O5*Assumptions!N22</f>
        <v>146.77473236678031</v>
      </c>
      <c r="P13" s="230">
        <f>P5*Assumptions!O22</f>
        <v>164.4828679498473</v>
      </c>
      <c r="Q13" s="230">
        <f>Q5*Assumptions!P22</f>
        <v>179.65682849454367</v>
      </c>
    </row>
    <row r="14" spans="1:17" x14ac:dyDescent="0.3">
      <c r="A14" s="10" t="s">
        <v>51</v>
      </c>
      <c r="B14" s="10"/>
      <c r="C14" s="230">
        <v>16.399999999999999</v>
      </c>
      <c r="D14" s="230">
        <v>31.3</v>
      </c>
      <c r="E14" s="230">
        <v>38.6</v>
      </c>
      <c r="F14" s="230">
        <v>56.4</v>
      </c>
      <c r="G14" s="231">
        <v>68.2</v>
      </c>
      <c r="H14" s="230">
        <f>H5*Assumptions!G23</f>
        <v>74.000000000075858</v>
      </c>
      <c r="I14" s="230">
        <f>I5*Assumptions!H23</f>
        <v>99.936999999066543</v>
      </c>
      <c r="J14" s="230">
        <f>J5*Assumptions!I23</f>
        <v>124.39280000037706</v>
      </c>
      <c r="K14" s="230">
        <f>K5*Assumptions!J23</f>
        <v>154.16981760016714</v>
      </c>
      <c r="L14" s="230">
        <f>L5*Assumptions!K23</f>
        <v>183.39755974600337</v>
      </c>
      <c r="M14" s="230">
        <f>M5*Assumptions!L23</f>
        <v>213.8448637290503</v>
      </c>
      <c r="N14" s="230">
        <f>N5*Assumptions!M23</f>
        <v>244.47592467649716</v>
      </c>
      <c r="O14" s="230">
        <f>O5*Assumptions!N23</f>
        <v>275.20262318771307</v>
      </c>
      <c r="P14" s="230">
        <f>P5*Assumptions!O23</f>
        <v>312.09569816124872</v>
      </c>
      <c r="Q14" s="230">
        <f>Q5*Assumptions!P23</f>
        <v>347.3365350894511</v>
      </c>
    </row>
    <row r="15" spans="1:17" x14ac:dyDescent="0.3">
      <c r="A15" s="29" t="s">
        <v>52</v>
      </c>
      <c r="B15" s="29"/>
      <c r="C15" s="234">
        <f t="shared" ref="C15:L15" si="3">C11+C13+C14</f>
        <v>72</v>
      </c>
      <c r="D15" s="234">
        <f t="shared" si="3"/>
        <v>141.70000000000002</v>
      </c>
      <c r="E15" s="234">
        <f t="shared" si="3"/>
        <v>165.79999999999998</v>
      </c>
      <c r="F15" s="234">
        <f t="shared" si="3"/>
        <v>237.70000000000002</v>
      </c>
      <c r="G15" s="235">
        <f t="shared" si="3"/>
        <v>283.89999999999998</v>
      </c>
      <c r="H15" s="234">
        <f t="shared" si="3"/>
        <v>312.0000000003198</v>
      </c>
      <c r="I15" s="234">
        <f t="shared" si="3"/>
        <v>407.85099999619047</v>
      </c>
      <c r="J15" s="234">
        <f t="shared" si="3"/>
        <v>511.78752000155134</v>
      </c>
      <c r="K15" s="234">
        <f t="shared" si="3"/>
        <v>630.28248960068322</v>
      </c>
      <c r="L15" s="234">
        <f t="shared" si="3"/>
        <v>750.26274441546832</v>
      </c>
      <c r="M15" s="234">
        <f>M11+M13+M14</f>
        <v>875.42741089079959</v>
      </c>
      <c r="N15" s="234">
        <f>N11+N13+N14</f>
        <v>1004.7171872188948</v>
      </c>
      <c r="O15" s="234">
        <f>O11+O13+O14</f>
        <v>1137.5041758425473</v>
      </c>
      <c r="P15" s="234">
        <f>P11+P13+P14</f>
        <v>1288.449132273804</v>
      </c>
      <c r="Q15" s="234">
        <f>Q11+Q13+Q14</f>
        <v>1437.2546279563494</v>
      </c>
    </row>
    <row r="16" spans="1:17" x14ac:dyDescent="0.3">
      <c r="A16" s="10"/>
      <c r="B16" s="10"/>
      <c r="C16" s="10"/>
      <c r="D16" s="10"/>
      <c r="E16" s="10"/>
      <c r="F16" s="10"/>
      <c r="G16" s="43"/>
      <c r="H16" s="10"/>
      <c r="I16" s="10"/>
      <c r="J16" s="10"/>
      <c r="K16" s="10"/>
      <c r="L16" s="10"/>
      <c r="M16" s="10"/>
      <c r="N16" s="10"/>
      <c r="O16" s="10"/>
      <c r="P16" s="10"/>
      <c r="Q16" s="10"/>
    </row>
    <row r="17" spans="1:17" x14ac:dyDescent="0.3">
      <c r="A17" s="13" t="s">
        <v>53</v>
      </c>
      <c r="B17" s="14"/>
      <c r="C17" s="236">
        <f t="shared" ref="C17:L17" si="4">C5-C15</f>
        <v>19.200000000000003</v>
      </c>
      <c r="D17" s="236">
        <f t="shared" si="4"/>
        <v>42.299999999999983</v>
      </c>
      <c r="E17" s="236">
        <f t="shared" si="4"/>
        <v>61.300000000000011</v>
      </c>
      <c r="F17" s="236">
        <f t="shared" si="4"/>
        <v>59.400000000000006</v>
      </c>
      <c r="G17" s="237">
        <f t="shared" si="4"/>
        <v>84.900000000000034</v>
      </c>
      <c r="H17" s="236">
        <f t="shared" si="4"/>
        <v>88.000000000090211</v>
      </c>
      <c r="I17" s="236">
        <f t="shared" si="4"/>
        <v>132.34899999876382</v>
      </c>
      <c r="J17" s="236">
        <f t="shared" si="4"/>
        <v>199.02848000060339</v>
      </c>
      <c r="K17" s="236">
        <f t="shared" si="4"/>
        <v>276.59879040029989</v>
      </c>
      <c r="L17" s="236">
        <f t="shared" si="4"/>
        <v>361.23761768152178</v>
      </c>
      <c r="M17" s="236">
        <f>M5-M15</f>
        <v>461.1029874157648</v>
      </c>
      <c r="N17" s="236">
        <f>N5-N15</f>
        <v>572.54684295205459</v>
      </c>
      <c r="O17" s="236">
        <f>O5-O15</f>
        <v>697.17997874220646</v>
      </c>
      <c r="P17" s="236">
        <f>P5-P15</f>
        <v>820.3055850319306</v>
      </c>
      <c r="Q17" s="236">
        <f>Q5-Q15</f>
        <v>958.1697519708996</v>
      </c>
    </row>
    <row r="18" spans="1:17" x14ac:dyDescent="0.3">
      <c r="A18" s="30" t="s">
        <v>54</v>
      </c>
      <c r="B18" s="31"/>
      <c r="C18" s="32">
        <f t="shared" ref="C18:L18" si="5">C17/C5</f>
        <v>0.2105263157894737</v>
      </c>
      <c r="D18" s="32">
        <f t="shared" si="5"/>
        <v>0.22989130434782598</v>
      </c>
      <c r="E18" s="32">
        <f t="shared" si="5"/>
        <v>0.2699251431087627</v>
      </c>
      <c r="F18" s="32">
        <f t="shared" si="5"/>
        <v>0.19993268259845171</v>
      </c>
      <c r="G18" s="44">
        <f t="shared" si="5"/>
        <v>0.23020607375271157</v>
      </c>
      <c r="H18" s="32">
        <f t="shared" si="5"/>
        <v>0.22000000000000003</v>
      </c>
      <c r="I18" s="32">
        <f t="shared" si="5"/>
        <v>0.24500000000000002</v>
      </c>
      <c r="J18" s="32">
        <f t="shared" si="5"/>
        <v>0.28000000000000008</v>
      </c>
      <c r="K18" s="32">
        <f t="shared" si="5"/>
        <v>0.30500000000000005</v>
      </c>
      <c r="L18" s="32">
        <f t="shared" si="5"/>
        <v>0.32500000000000001</v>
      </c>
      <c r="M18" s="32">
        <f>M17/M5</f>
        <v>0.34500000000000008</v>
      </c>
      <c r="N18" s="32">
        <f>N17/N5</f>
        <v>0.36299999999999999</v>
      </c>
      <c r="O18" s="32">
        <f>O17/O5</f>
        <v>0.38</v>
      </c>
      <c r="P18" s="32">
        <f>P17/P5</f>
        <v>0.3889999999999999</v>
      </c>
      <c r="Q18" s="32">
        <f>Q17/Q5</f>
        <v>0.4</v>
      </c>
    </row>
    <row r="19" spans="1:17" x14ac:dyDescent="0.3">
      <c r="A19" s="10"/>
      <c r="B19" s="10"/>
      <c r="C19" s="10"/>
      <c r="D19" s="10"/>
      <c r="E19" s="10"/>
      <c r="F19" s="10"/>
      <c r="G19" s="43"/>
      <c r="H19" s="10"/>
      <c r="I19" s="10"/>
      <c r="J19" s="10"/>
      <c r="K19" s="10"/>
      <c r="L19" s="10"/>
      <c r="M19" s="10"/>
      <c r="N19" s="10"/>
      <c r="O19" s="10"/>
      <c r="P19" s="10"/>
      <c r="Q19" s="10"/>
    </row>
    <row r="20" spans="1:17" x14ac:dyDescent="0.3">
      <c r="A20" s="10" t="s">
        <v>55</v>
      </c>
      <c r="B20" s="10"/>
      <c r="C20" s="230">
        <v>5.5</v>
      </c>
      <c r="D20" s="230">
        <v>6.4</v>
      </c>
      <c r="E20" s="230">
        <v>8</v>
      </c>
      <c r="F20" s="230">
        <v>8.3000000000000007</v>
      </c>
      <c r="G20" s="231">
        <v>10</v>
      </c>
      <c r="H20" s="230">
        <f>('Balance Sheet'!G24+'Balance Sheet'!G25)*Assumptions!G25</f>
        <v>9.7750000000000004</v>
      </c>
      <c r="I20" s="230">
        <f>('Balance Sheet'!H24+'Balance Sheet'!H25)*Assumptions!H25</f>
        <v>17.9452</v>
      </c>
      <c r="J20" s="230">
        <f>('Balance Sheet'!I24+'Balance Sheet'!I25)*Assumptions!I25</f>
        <v>15.7264982</v>
      </c>
      <c r="K20" s="230">
        <f>('Balance Sheet'!J24+'Balance Sheet'!J25)*Assumptions!J25</f>
        <v>19.426203292599997</v>
      </c>
      <c r="L20" s="230">
        <f>('Balance Sheet'!K24+'Balance Sheet'!K25)*Assumptions!K25</f>
        <v>22.789218244769597</v>
      </c>
      <c r="M20" s="230">
        <f>('Balance Sheet'!L24+'Balance Sheet'!L25)*Assumptions!L25</f>
        <v>25.890125906525672</v>
      </c>
      <c r="N20" s="230">
        <f>('Balance Sheet'!M24+'Balance Sheet'!M25)*Assumptions!M25</f>
        <v>29.149879926898265</v>
      </c>
      <c r="O20" s="230">
        <f>('Balance Sheet'!N24+'Balance Sheet'!N25)*Assumptions!N25</f>
        <v>32.764595945203823</v>
      </c>
      <c r="P20" s="230">
        <f>('Balance Sheet'!O24+'Balance Sheet'!O25)*Assumptions!O25</f>
        <v>36.133594899012245</v>
      </c>
      <c r="Q20" s="230">
        <f>('Balance Sheet'!P24+'Balance Sheet'!P25)*Assumptions!P25</f>
        <v>39.545971522649133</v>
      </c>
    </row>
    <row r="21" spans="1:17" x14ac:dyDescent="0.3">
      <c r="A21" s="10" t="s">
        <v>56</v>
      </c>
      <c r="B21" s="10"/>
      <c r="C21" s="230">
        <v>1.8</v>
      </c>
      <c r="D21" s="230">
        <v>1.8</v>
      </c>
      <c r="E21" s="230">
        <v>2.2999999999999998</v>
      </c>
      <c r="F21" s="230">
        <v>3</v>
      </c>
      <c r="G21" s="231">
        <v>9.1999999999999993</v>
      </c>
      <c r="H21" s="230">
        <f>H5*Assumptions!G26</f>
        <v>6.0000000000061497</v>
      </c>
      <c r="I21" s="230">
        <f>I5*Assumptions!H26</f>
        <v>6.4823999999394513</v>
      </c>
      <c r="J21" s="230">
        <f>J5*Assumptions!I26</f>
        <v>7.1081600000215479</v>
      </c>
      <c r="K21" s="230">
        <f>K5*Assumptions!J26</f>
        <v>7.2550502400078649</v>
      </c>
      <c r="L21" s="230">
        <f>L5*Assumptions!K26</f>
        <v>7.7805025346789307</v>
      </c>
      <c r="M21" s="230">
        <f>M5*Assumptions!L26</f>
        <v>8.0191823898393864</v>
      </c>
      <c r="N21" s="230">
        <f>N5*Assumptions!M26</f>
        <v>7.8863201508547469</v>
      </c>
      <c r="O21" s="230">
        <f>O5*Assumptions!N26</f>
        <v>9.1734207729237696</v>
      </c>
      <c r="P21" s="230">
        <f>P5*Assumptions!O26</f>
        <v>8.4350188692229384</v>
      </c>
      <c r="Q21" s="230">
        <f>Q5*Assumptions!P26</f>
        <v>9.581697519708996</v>
      </c>
    </row>
    <row r="22" spans="1:17" x14ac:dyDescent="0.3">
      <c r="A22" s="33" t="s">
        <v>57</v>
      </c>
      <c r="B22" s="34"/>
      <c r="C22" s="238">
        <f t="shared" ref="C22:L22" si="6">C17-C20-C21+C7</f>
        <v>14.100000000000001</v>
      </c>
      <c r="D22" s="238">
        <f t="shared" si="6"/>
        <v>39.099999999999987</v>
      </c>
      <c r="E22" s="238">
        <f t="shared" si="6"/>
        <v>55.100000000000016</v>
      </c>
      <c r="F22" s="238">
        <f t="shared" si="6"/>
        <v>56.20000000000001</v>
      </c>
      <c r="G22" s="239">
        <f t="shared" si="6"/>
        <v>82.900000000000034</v>
      </c>
      <c r="H22" s="238">
        <f t="shared" si="6"/>
        <v>82.225000000084052</v>
      </c>
      <c r="I22" s="238">
        <f t="shared" si="6"/>
        <v>119.92139999882437</v>
      </c>
      <c r="J22" s="238">
        <f t="shared" si="6"/>
        <v>190.19382180058184</v>
      </c>
      <c r="K22" s="238">
        <f t="shared" si="6"/>
        <v>265.91753686769198</v>
      </c>
      <c r="L22" s="238">
        <f t="shared" si="6"/>
        <v>348.66789690207327</v>
      </c>
      <c r="M22" s="238">
        <f>M17-M20-M21+M7</f>
        <v>447.19367911939975</v>
      </c>
      <c r="N22" s="238">
        <f>N17-N20-N21+N7</f>
        <v>557.51064287430154</v>
      </c>
      <c r="O22" s="238">
        <f>O17-O20-O21+O7</f>
        <v>679.24196202407882</v>
      </c>
      <c r="P22" s="238">
        <f>P17-P20-P21+P7</f>
        <v>801.73697126369541</v>
      </c>
      <c r="Q22" s="238">
        <f>Q17-Q20-Q21+Q7</f>
        <v>937.0420829285415</v>
      </c>
    </row>
    <row r="23" spans="1:17" x14ac:dyDescent="0.3">
      <c r="A23" s="10" t="s">
        <v>58</v>
      </c>
      <c r="B23" s="10"/>
      <c r="C23" s="230">
        <v>3.8</v>
      </c>
      <c r="D23" s="230">
        <v>8.6</v>
      </c>
      <c r="E23" s="230">
        <v>8.8000000000000007</v>
      </c>
      <c r="F23" s="230">
        <v>10.5</v>
      </c>
      <c r="G23" s="231">
        <v>10.3</v>
      </c>
      <c r="H23" s="230">
        <f>H22*Assumptions!G27</f>
        <v>18.500625000018911</v>
      </c>
      <c r="I23" s="230">
        <f>I22*Assumptions!H27</f>
        <v>26.982314999735483</v>
      </c>
      <c r="J23" s="230">
        <f>J22*Assumptions!I27</f>
        <v>42.793609905130914</v>
      </c>
      <c r="K23" s="230">
        <f>K22*Assumptions!J27</f>
        <v>59.8314457952307</v>
      </c>
      <c r="L23" s="230">
        <f>L22*Assumptions!K27</f>
        <v>78.450276802966485</v>
      </c>
      <c r="M23" s="230">
        <f>M22*Assumptions!L27</f>
        <v>100.61857780186494</v>
      </c>
      <c r="N23" s="230">
        <f>N22*Assumptions!M27</f>
        <v>125.43989464671785</v>
      </c>
      <c r="O23" s="230">
        <f>O22*Assumptions!N27</f>
        <v>152.82944145541774</v>
      </c>
      <c r="P23" s="230">
        <f>P22*Assumptions!O27</f>
        <v>180.39081853433146</v>
      </c>
      <c r="Q23" s="230">
        <f>Q22*Assumptions!P27</f>
        <v>210.83446865892185</v>
      </c>
    </row>
    <row r="24" spans="1:17" x14ac:dyDescent="0.3">
      <c r="A24" s="31" t="s">
        <v>59</v>
      </c>
      <c r="B24" s="31"/>
      <c r="C24" s="35">
        <f t="shared" ref="C24:L24" si="7">C23/C22</f>
        <v>0.26950354609929073</v>
      </c>
      <c r="D24" s="35">
        <f t="shared" si="7"/>
        <v>0.2199488491048594</v>
      </c>
      <c r="E24" s="35">
        <f t="shared" si="7"/>
        <v>0.15970961887477311</v>
      </c>
      <c r="F24" s="35">
        <f t="shared" si="7"/>
        <v>0.18683274021352309</v>
      </c>
      <c r="G24" s="45">
        <f t="shared" si="7"/>
        <v>0.12424607961399271</v>
      </c>
      <c r="H24" s="35">
        <f t="shared" si="7"/>
        <v>0.22499999999999998</v>
      </c>
      <c r="I24" s="35">
        <f t="shared" si="7"/>
        <v>0.22500000000000001</v>
      </c>
      <c r="J24" s="35">
        <f t="shared" si="7"/>
        <v>0.22500000000000001</v>
      </c>
      <c r="K24" s="35">
        <f t="shared" si="7"/>
        <v>0.22500000000000001</v>
      </c>
      <c r="L24" s="35">
        <f t="shared" si="7"/>
        <v>0.22500000000000001</v>
      </c>
      <c r="M24" s="35">
        <f>M23/M22</f>
        <v>0.22500000000000001</v>
      </c>
      <c r="N24" s="35">
        <f>N23/N22</f>
        <v>0.22500000000000001</v>
      </c>
      <c r="O24" s="35">
        <f>O23/O22</f>
        <v>0.22500000000000001</v>
      </c>
      <c r="P24" s="35">
        <f>P23/P22</f>
        <v>0.22499999999999998</v>
      </c>
      <c r="Q24" s="35">
        <f>Q23/Q22</f>
        <v>0.22500000000000001</v>
      </c>
    </row>
    <row r="25" spans="1:17" x14ac:dyDescent="0.3">
      <c r="A25" s="10"/>
      <c r="B25" s="10"/>
      <c r="C25" s="10"/>
      <c r="D25" s="10"/>
      <c r="E25" s="10"/>
      <c r="F25" s="10"/>
      <c r="G25" s="43"/>
      <c r="H25" s="10"/>
      <c r="I25" s="10"/>
      <c r="J25" s="10"/>
      <c r="K25" s="10"/>
      <c r="L25" s="10"/>
      <c r="M25" s="10"/>
      <c r="N25" s="10"/>
      <c r="O25" s="10"/>
      <c r="P25" s="10"/>
      <c r="Q25" s="10"/>
    </row>
    <row r="26" spans="1:17" ht="15" thickBot="1" x14ac:dyDescent="0.35">
      <c r="A26" s="38" t="s">
        <v>60</v>
      </c>
      <c r="B26" s="39"/>
      <c r="C26" s="240">
        <f t="shared" ref="C26:L26" si="8">C22-C23</f>
        <v>10.3</v>
      </c>
      <c r="D26" s="240">
        <f t="shared" si="8"/>
        <v>30.499999999999986</v>
      </c>
      <c r="E26" s="240">
        <f t="shared" si="8"/>
        <v>46.300000000000011</v>
      </c>
      <c r="F26" s="240">
        <f t="shared" si="8"/>
        <v>45.70000000000001</v>
      </c>
      <c r="G26" s="241">
        <f t="shared" si="8"/>
        <v>72.600000000000037</v>
      </c>
      <c r="H26" s="240">
        <f t="shared" si="8"/>
        <v>63.724375000065137</v>
      </c>
      <c r="I26" s="240">
        <f t="shared" si="8"/>
        <v>92.939084999088891</v>
      </c>
      <c r="J26" s="240">
        <f t="shared" si="8"/>
        <v>147.40021189545092</v>
      </c>
      <c r="K26" s="240">
        <f t="shared" si="8"/>
        <v>206.08609107246127</v>
      </c>
      <c r="L26" s="240">
        <f t="shared" si="8"/>
        <v>270.2176200991068</v>
      </c>
      <c r="M26" s="240">
        <f>M22-M23</f>
        <v>346.5751013175348</v>
      </c>
      <c r="N26" s="240">
        <f>N22-N23</f>
        <v>432.07074822758369</v>
      </c>
      <c r="O26" s="240">
        <f>O22-O23</f>
        <v>526.41252056866108</v>
      </c>
      <c r="P26" s="240">
        <f>P22-P23</f>
        <v>621.34615272936389</v>
      </c>
      <c r="Q26" s="240">
        <f>Q22-Q23</f>
        <v>726.20761426961963</v>
      </c>
    </row>
    <row r="27" spans="1:17" ht="15" thickTop="1" x14ac:dyDescent="0.3">
      <c r="A27" s="9" t="s">
        <v>61</v>
      </c>
      <c r="B27" s="10"/>
      <c r="C27" s="16">
        <f t="shared" ref="C27:L27" si="9">C26/C5</f>
        <v>0.11293859649122807</v>
      </c>
      <c r="D27" s="16">
        <f t="shared" si="9"/>
        <v>0.16576086956521732</v>
      </c>
      <c r="E27" s="16">
        <f t="shared" si="9"/>
        <v>0.20387494495816827</v>
      </c>
      <c r="F27" s="16">
        <f t="shared" si="9"/>
        <v>0.15382026253786607</v>
      </c>
      <c r="G27" s="46">
        <f t="shared" si="9"/>
        <v>0.19685466377440355</v>
      </c>
      <c r="H27" s="16">
        <f t="shared" si="9"/>
        <v>0.15931093749999956</v>
      </c>
      <c r="I27" s="16">
        <f t="shared" si="9"/>
        <v>0.17204569603842462</v>
      </c>
      <c r="J27" s="16">
        <f t="shared" si="9"/>
        <v>0.20736760553364597</v>
      </c>
      <c r="K27" s="16">
        <f t="shared" si="9"/>
        <v>0.22724704502913309</v>
      </c>
      <c r="L27" s="16">
        <f t="shared" si="9"/>
        <v>0.24311069012096953</v>
      </c>
      <c r="M27" s="16">
        <f>M26/M5</f>
        <v>0.25930955386922649</v>
      </c>
      <c r="N27" s="16">
        <f>N26/N5</f>
        <v>0.27393685518888955</v>
      </c>
      <c r="O27" s="16">
        <f>O26/O5</f>
        <v>0.28692269416138533</v>
      </c>
      <c r="P27" s="16">
        <f>P26/P5</f>
        <v>0.29465074701681343</v>
      </c>
      <c r="Q27" s="16">
        <f>Q26/Q5</f>
        <v>0.30316449158444114</v>
      </c>
    </row>
    <row r="28" spans="1:17" x14ac:dyDescent="0.3">
      <c r="A28" s="10"/>
      <c r="B28" s="10"/>
      <c r="C28" s="10"/>
      <c r="D28" s="10"/>
      <c r="E28" s="10"/>
      <c r="F28" s="10"/>
      <c r="G28" s="43"/>
      <c r="H28" s="10"/>
      <c r="I28" s="10"/>
      <c r="J28" s="10"/>
      <c r="K28" s="10"/>
      <c r="L28" s="10"/>
      <c r="M28" s="10"/>
      <c r="N28" s="10"/>
      <c r="O28" s="10"/>
      <c r="P28" s="10"/>
      <c r="Q28" s="10"/>
    </row>
    <row r="29" spans="1:17" x14ac:dyDescent="0.3">
      <c r="A29" s="9" t="s">
        <v>62</v>
      </c>
      <c r="B29" s="10"/>
      <c r="C29" s="19">
        <f t="shared" ref="C29:L29" si="10">C26/C30</f>
        <v>10.729166666666668</v>
      </c>
      <c r="D29" s="19">
        <f t="shared" si="10"/>
        <v>31.770833333333318</v>
      </c>
      <c r="E29" s="19">
        <f t="shared" si="10"/>
        <v>48.229166666666679</v>
      </c>
      <c r="F29" s="19">
        <f t="shared" si="10"/>
        <v>47.604166666666679</v>
      </c>
      <c r="G29" s="47">
        <f t="shared" si="10"/>
        <v>71.88118811881192</v>
      </c>
      <c r="H29" s="19">
        <f t="shared" si="10"/>
        <v>61.367849576333917</v>
      </c>
      <c r="I29" s="19">
        <f t="shared" si="10"/>
        <v>89.502200499893007</v>
      </c>
      <c r="J29" s="19">
        <f t="shared" si="10"/>
        <v>141.94935660193656</v>
      </c>
      <c r="K29" s="19">
        <f t="shared" si="10"/>
        <v>198.46503377548274</v>
      </c>
      <c r="L29" s="19">
        <f t="shared" si="10"/>
        <v>260.22498083504121</v>
      </c>
      <c r="M29" s="19">
        <f>M26/M30</f>
        <v>333.75876475109283</v>
      </c>
      <c r="N29" s="19">
        <f>N26/N30</f>
        <v>416.09278527309681</v>
      </c>
      <c r="O29" s="19">
        <f>O26/O30</f>
        <v>506.94580178029764</v>
      </c>
      <c r="P29" s="19">
        <f>P26/P30</f>
        <v>598.36879114923329</v>
      </c>
      <c r="Q29" s="19">
        <f>Q26/Q30</f>
        <v>699.35247907320843</v>
      </c>
    </row>
    <row r="30" spans="1:17" x14ac:dyDescent="0.3">
      <c r="A30" s="10" t="s">
        <v>63</v>
      </c>
      <c r="B30" s="10"/>
      <c r="C30" s="20">
        <v>0.96</v>
      </c>
      <c r="D30" s="20">
        <v>0.96</v>
      </c>
      <c r="E30" s="20">
        <v>0.96</v>
      </c>
      <c r="F30" s="20">
        <v>0.96</v>
      </c>
      <c r="G30" s="48">
        <v>1.01</v>
      </c>
      <c r="H30" s="20">
        <v>1.0384</v>
      </c>
      <c r="I30" s="20">
        <v>1.0384</v>
      </c>
      <c r="J30" s="20">
        <v>1.0384</v>
      </c>
      <c r="K30" s="20">
        <v>1.0384</v>
      </c>
      <c r="L30" s="20">
        <v>1.0384</v>
      </c>
      <c r="M30" s="20">
        <v>1.0384</v>
      </c>
      <c r="N30" s="20">
        <v>1.0384</v>
      </c>
      <c r="O30" s="20">
        <v>1.0384</v>
      </c>
      <c r="P30" s="20">
        <v>1.0384</v>
      </c>
      <c r="Q30" s="20">
        <v>1.0384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160CA6-04BB-4498-A560-D206C8BF115A}">
  <sheetPr>
    <tabColor rgb="FF2E75B6"/>
  </sheetPr>
  <dimension ref="A1:Q36"/>
  <sheetViews>
    <sheetView showGridLines="0" workbookViewId="0">
      <pane xSplit="2" ySplit="4" topLeftCell="C5" activePane="bottomRight" state="frozen"/>
      <selection pane="topRight" activeCell="C1" sqref="C1"/>
      <selection pane="bottomLeft" activeCell="A5" sqref="A5"/>
      <selection pane="bottomRight" activeCell="H8" sqref="H8"/>
    </sheetView>
  </sheetViews>
  <sheetFormatPr defaultRowHeight="14.4" x14ac:dyDescent="0.3"/>
  <cols>
    <col min="1" max="1" width="38.88671875" customWidth="1"/>
    <col min="2" max="2" width="1.88671875" customWidth="1"/>
    <col min="3" max="17" width="13.33203125" customWidth="1"/>
  </cols>
  <sheetData>
    <row r="1" spans="1:17" ht="17.399999999999999" x14ac:dyDescent="0.35">
      <c r="A1" s="21" t="s">
        <v>64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</row>
    <row r="2" spans="1:17" x14ac:dyDescent="0.3">
      <c r="A2" s="22" t="s">
        <v>65</v>
      </c>
    </row>
    <row r="4" spans="1:17" ht="15" thickBot="1" x14ac:dyDescent="0.35">
      <c r="A4" s="23" t="s">
        <v>42</v>
      </c>
      <c r="B4" s="24"/>
      <c r="C4" s="25" t="s">
        <v>4</v>
      </c>
      <c r="D4" s="25" t="s">
        <v>5</v>
      </c>
      <c r="E4" s="25" t="s">
        <v>6</v>
      </c>
      <c r="F4" s="25" t="s">
        <v>7</v>
      </c>
      <c r="G4" s="40" t="s">
        <v>8</v>
      </c>
      <c r="H4" s="26" t="s">
        <v>9</v>
      </c>
      <c r="I4" s="26" t="s">
        <v>10</v>
      </c>
      <c r="J4" s="26" t="s">
        <v>11</v>
      </c>
      <c r="K4" s="26" t="s">
        <v>12</v>
      </c>
      <c r="L4" s="26" t="s">
        <v>13</v>
      </c>
      <c r="M4" s="26" t="s">
        <v>240</v>
      </c>
      <c r="N4" s="26" t="s">
        <v>241</v>
      </c>
      <c r="O4" s="26" t="s">
        <v>242</v>
      </c>
      <c r="P4" s="26" t="s">
        <v>243</v>
      </c>
      <c r="Q4" s="26" t="s">
        <v>244</v>
      </c>
    </row>
    <row r="5" spans="1:17" x14ac:dyDescent="0.3">
      <c r="A5" s="49" t="s">
        <v>66</v>
      </c>
      <c r="B5" s="10"/>
      <c r="C5" s="10"/>
      <c r="D5" s="10"/>
      <c r="E5" s="10"/>
      <c r="F5" s="10"/>
      <c r="G5" s="43"/>
      <c r="H5" s="10"/>
      <c r="I5" s="10"/>
      <c r="J5" s="10"/>
      <c r="K5" s="10"/>
      <c r="L5" s="10"/>
      <c r="M5" s="10"/>
      <c r="N5" s="10"/>
      <c r="O5" s="10"/>
      <c r="P5" s="10"/>
      <c r="Q5" s="10"/>
    </row>
    <row r="6" spans="1:17" x14ac:dyDescent="0.3">
      <c r="A6" s="10" t="s">
        <v>67</v>
      </c>
      <c r="B6" s="10"/>
      <c r="C6" s="230">
        <v>9.6</v>
      </c>
      <c r="D6" s="230">
        <v>9.6</v>
      </c>
      <c r="E6" s="230">
        <v>9.6</v>
      </c>
      <c r="F6" s="230">
        <v>9.6</v>
      </c>
      <c r="G6" s="231">
        <v>10.1</v>
      </c>
      <c r="H6" s="230">
        <v>10.38</v>
      </c>
      <c r="I6" s="230">
        <v>10.38</v>
      </c>
      <c r="J6" s="230">
        <v>10.38</v>
      </c>
      <c r="K6" s="230">
        <v>10.38</v>
      </c>
      <c r="L6" s="230">
        <v>10.38</v>
      </c>
      <c r="M6" s="230">
        <v>10.38</v>
      </c>
      <c r="N6" s="230">
        <v>10.38</v>
      </c>
      <c r="O6" s="230">
        <v>10.38</v>
      </c>
      <c r="P6" s="230">
        <v>10.38</v>
      </c>
      <c r="Q6" s="230">
        <v>10.38</v>
      </c>
    </row>
    <row r="7" spans="1:17" x14ac:dyDescent="0.3">
      <c r="A7" s="10" t="s">
        <v>68</v>
      </c>
      <c r="B7" s="10"/>
      <c r="C7" s="230">
        <v>38.4</v>
      </c>
      <c r="D7" s="230">
        <v>68.900000000000006</v>
      </c>
      <c r="E7" s="230">
        <v>115.2</v>
      </c>
      <c r="F7" s="230">
        <v>157.4</v>
      </c>
      <c r="G7" s="231">
        <v>187.2</v>
      </c>
      <c r="H7" s="230">
        <f>G7+('Income Statement'!H26*0.85)+48.3</f>
        <v>289.66571875005536</v>
      </c>
      <c r="I7" s="230">
        <f>H7+('Income Statement'!I26*0.85)</f>
        <v>368.6639409992809</v>
      </c>
      <c r="J7" s="230">
        <f>I7+('Income Statement'!J26*0.85)</f>
        <v>493.95412111041418</v>
      </c>
      <c r="K7" s="230">
        <f>J7+('Income Statement'!K26*0.85)</f>
        <v>669.12729852200619</v>
      </c>
      <c r="L7" s="230">
        <f>K7+('Income Statement'!L26*0.85)</f>
        <v>898.81227560624689</v>
      </c>
      <c r="M7" s="230">
        <f>L7+('Income Statement'!M26*0.85)</f>
        <v>1193.4011117261514</v>
      </c>
      <c r="N7" s="230">
        <f>M7+('Income Statement'!N26*0.85)</f>
        <v>1560.6612477195974</v>
      </c>
      <c r="O7" s="230">
        <f>N7+('Income Statement'!O26*0.85)</f>
        <v>2008.1118902029593</v>
      </c>
      <c r="P7" s="230">
        <f>O7+('Income Statement'!P26*0.85)</f>
        <v>2536.2561200229184</v>
      </c>
      <c r="Q7" s="230">
        <f>P7+('Income Statement'!Q26*0.85)</f>
        <v>3153.5325921520953</v>
      </c>
    </row>
    <row r="8" spans="1:17" x14ac:dyDescent="0.3">
      <c r="A8" s="51" t="s">
        <v>69</v>
      </c>
      <c r="B8" s="52"/>
      <c r="C8" s="242">
        <f t="shared" ref="C8:L8" si="0">C6+C7</f>
        <v>48</v>
      </c>
      <c r="D8" s="242">
        <f t="shared" si="0"/>
        <v>78.5</v>
      </c>
      <c r="E8" s="242">
        <f t="shared" si="0"/>
        <v>124.8</v>
      </c>
      <c r="F8" s="242">
        <f t="shared" si="0"/>
        <v>167</v>
      </c>
      <c r="G8" s="243">
        <f t="shared" si="0"/>
        <v>197.29999999999998</v>
      </c>
      <c r="H8" s="242">
        <f t="shared" si="0"/>
        <v>300.04571875005536</v>
      </c>
      <c r="I8" s="242">
        <f t="shared" si="0"/>
        <v>379.04394099928089</v>
      </c>
      <c r="J8" s="242">
        <f t="shared" si="0"/>
        <v>504.33412111041417</v>
      </c>
      <c r="K8" s="242">
        <f t="shared" si="0"/>
        <v>679.50729852200618</v>
      </c>
      <c r="L8" s="242">
        <f t="shared" si="0"/>
        <v>909.19227560624688</v>
      </c>
      <c r="M8" s="242">
        <f>M6+M7</f>
        <v>1203.7811117261515</v>
      </c>
      <c r="N8" s="242">
        <f>N6+N7</f>
        <v>1571.0412477195975</v>
      </c>
      <c r="O8" s="242">
        <f>O6+O7</f>
        <v>2018.4918902029594</v>
      </c>
      <c r="P8" s="242">
        <f>P6+P7</f>
        <v>2546.6361200229185</v>
      </c>
      <c r="Q8" s="242">
        <f>Q6+Q7</f>
        <v>3163.9125921520954</v>
      </c>
    </row>
    <row r="9" spans="1:17" x14ac:dyDescent="0.3">
      <c r="A9" s="10"/>
      <c r="B9" s="10"/>
      <c r="C9" s="10"/>
      <c r="D9" s="10"/>
      <c r="E9" s="10"/>
      <c r="F9" s="10"/>
      <c r="G9" s="43"/>
      <c r="H9" s="10"/>
      <c r="I9" s="10"/>
      <c r="J9" s="10"/>
      <c r="K9" s="10"/>
      <c r="L9" s="10"/>
      <c r="M9" s="10"/>
      <c r="N9" s="10"/>
      <c r="O9" s="10"/>
      <c r="P9" s="10"/>
      <c r="Q9" s="10"/>
    </row>
    <row r="10" spans="1:17" x14ac:dyDescent="0.3">
      <c r="A10" s="10" t="s">
        <v>70</v>
      </c>
      <c r="B10" s="10"/>
      <c r="C10" s="10"/>
      <c r="D10" s="10"/>
      <c r="E10" s="10"/>
      <c r="F10" s="10"/>
      <c r="G10" s="43"/>
      <c r="H10" s="10"/>
      <c r="I10" s="10"/>
      <c r="J10" s="10"/>
      <c r="K10" s="10"/>
      <c r="L10" s="10"/>
      <c r="M10" s="10"/>
      <c r="N10" s="10"/>
      <c r="O10" s="10"/>
      <c r="P10" s="10"/>
      <c r="Q10" s="10"/>
    </row>
    <row r="11" spans="1:17" x14ac:dyDescent="0.3">
      <c r="A11" s="10" t="s">
        <v>71</v>
      </c>
      <c r="B11" s="10"/>
      <c r="C11" s="230">
        <v>5</v>
      </c>
      <c r="D11" s="230">
        <v>3.5</v>
      </c>
      <c r="E11" s="230">
        <v>7</v>
      </c>
      <c r="F11" s="230">
        <v>6</v>
      </c>
      <c r="G11" s="231">
        <v>5</v>
      </c>
      <c r="H11" s="230">
        <v>4</v>
      </c>
      <c r="I11" s="230">
        <v>3</v>
      </c>
      <c r="J11" s="230">
        <v>2</v>
      </c>
      <c r="K11" s="230">
        <v>1</v>
      </c>
      <c r="L11" s="230">
        <v>0</v>
      </c>
      <c r="M11" s="230">
        <v>0</v>
      </c>
      <c r="N11" s="230">
        <v>0</v>
      </c>
      <c r="O11" s="230">
        <v>0</v>
      </c>
      <c r="P11" s="230">
        <v>0</v>
      </c>
      <c r="Q11" s="230">
        <v>0</v>
      </c>
    </row>
    <row r="12" spans="1:17" x14ac:dyDescent="0.3">
      <c r="A12" s="10" t="s">
        <v>72</v>
      </c>
      <c r="B12" s="10"/>
      <c r="C12" s="230">
        <v>2</v>
      </c>
      <c r="D12" s="230">
        <v>3.5</v>
      </c>
      <c r="E12" s="230">
        <v>3.5</v>
      </c>
      <c r="F12" s="230">
        <v>5</v>
      </c>
      <c r="G12" s="231">
        <v>120</v>
      </c>
      <c r="H12" s="230">
        <v>115</v>
      </c>
      <c r="I12" s="230">
        <v>110</v>
      </c>
      <c r="J12" s="230">
        <v>105</v>
      </c>
      <c r="K12" s="230">
        <v>100</v>
      </c>
      <c r="L12" s="230">
        <v>95</v>
      </c>
      <c r="M12" s="230">
        <v>90</v>
      </c>
      <c r="N12" s="230">
        <v>85</v>
      </c>
      <c r="O12" s="230">
        <v>80</v>
      </c>
      <c r="P12" s="230">
        <v>75</v>
      </c>
      <c r="Q12" s="230">
        <v>70</v>
      </c>
    </row>
    <row r="13" spans="1:17" x14ac:dyDescent="0.3">
      <c r="A13" s="10"/>
      <c r="B13" s="10"/>
      <c r="C13" s="10"/>
      <c r="D13" s="10"/>
      <c r="E13" s="10"/>
      <c r="F13" s="10"/>
      <c r="G13" s="43"/>
      <c r="H13" s="10"/>
      <c r="I13" s="10"/>
      <c r="J13" s="10"/>
      <c r="K13" s="10"/>
      <c r="L13" s="10"/>
      <c r="M13" s="10"/>
      <c r="N13" s="10"/>
      <c r="O13" s="10"/>
      <c r="P13" s="10"/>
      <c r="Q13" s="10"/>
    </row>
    <row r="14" spans="1:17" x14ac:dyDescent="0.3">
      <c r="A14" s="10" t="s">
        <v>73</v>
      </c>
      <c r="B14" s="10"/>
      <c r="C14" s="10"/>
      <c r="D14" s="10"/>
      <c r="E14" s="10"/>
      <c r="F14" s="10"/>
      <c r="G14" s="43"/>
      <c r="H14" s="10"/>
      <c r="I14" s="10"/>
      <c r="J14" s="10"/>
      <c r="K14" s="10"/>
      <c r="L14" s="10"/>
      <c r="M14" s="10"/>
      <c r="N14" s="10"/>
      <c r="O14" s="10"/>
      <c r="P14" s="10"/>
      <c r="Q14" s="10"/>
    </row>
    <row r="15" spans="1:17" x14ac:dyDescent="0.3">
      <c r="A15" s="10" t="s">
        <v>74</v>
      </c>
      <c r="B15" s="10"/>
      <c r="C15" s="230">
        <v>10.199999999999999</v>
      </c>
      <c r="D15" s="230">
        <v>18</v>
      </c>
      <c r="E15" s="230">
        <v>20.399999999999999</v>
      </c>
      <c r="F15" s="230">
        <v>29.3</v>
      </c>
      <c r="G15" s="231">
        <v>35</v>
      </c>
      <c r="H15" s="230">
        <f>'Income Statement'!H11*Assumptions!G35/365</f>
        <v>36.054794520584906</v>
      </c>
      <c r="I15" s="230">
        <f>'Income Statement'!I11*Assumptions!H35/365</f>
        <v>45.791199999572292</v>
      </c>
      <c r="J15" s="230">
        <f>'Income Statement'!J11*Assumptions!I35/365</f>
        <v>55.696815342634579</v>
      </c>
      <c r="K15" s="230">
        <f>'Income Statement'!K11*Assumptions!J35/365</f>
        <v>66.239602533770437</v>
      </c>
      <c r="L15" s="230">
        <f>'Income Statement'!L11*Assumptions!K35/365</f>
        <v>76.739203081764785</v>
      </c>
      <c r="M15" s="230">
        <f>'Income Statement'!M11*Assumptions!L35/365</f>
        <v>87.075870881452317</v>
      </c>
      <c r="N15" s="230">
        <f>'Income Statement'!N11*Assumptions!M35/365</f>
        <v>98.52498599424014</v>
      </c>
      <c r="O15" s="230">
        <f>'Income Statement'!O11*Assumptions!N35/365</f>
        <v>109.77945735926306</v>
      </c>
      <c r="P15" s="230">
        <f>'Income Statement'!P11*Assumptions!O35/365</f>
        <v>122.33666065465462</v>
      </c>
      <c r="Q15" s="230">
        <f>'Income Statement'!Q11*Assumptions!P35/365</f>
        <v>137.16265627528631</v>
      </c>
    </row>
    <row r="16" spans="1:17" x14ac:dyDescent="0.3">
      <c r="A16" s="10" t="s">
        <v>75</v>
      </c>
      <c r="B16" s="10"/>
      <c r="C16" s="230">
        <v>8</v>
      </c>
      <c r="D16" s="230">
        <v>5</v>
      </c>
      <c r="E16" s="230">
        <v>10</v>
      </c>
      <c r="F16" s="230">
        <v>15</v>
      </c>
      <c r="G16" s="231">
        <v>12</v>
      </c>
      <c r="H16" s="230">
        <v>10</v>
      </c>
      <c r="I16" s="230">
        <v>8</v>
      </c>
      <c r="J16" s="230">
        <v>6</v>
      </c>
      <c r="K16" s="230">
        <v>4</v>
      </c>
      <c r="L16" s="230">
        <v>2</v>
      </c>
      <c r="M16" s="230">
        <v>0</v>
      </c>
      <c r="N16" s="230">
        <v>0</v>
      </c>
      <c r="O16" s="230">
        <v>0</v>
      </c>
      <c r="P16" s="230">
        <v>0</v>
      </c>
      <c r="Q16" s="230">
        <v>0</v>
      </c>
    </row>
    <row r="17" spans="1:17" x14ac:dyDescent="0.3">
      <c r="A17" s="10" t="s">
        <v>76</v>
      </c>
      <c r="B17" s="10"/>
      <c r="C17" s="230">
        <v>23.8</v>
      </c>
      <c r="D17" s="230">
        <v>43.6</v>
      </c>
      <c r="E17" s="230">
        <v>36</v>
      </c>
      <c r="F17" s="230">
        <v>50</v>
      </c>
      <c r="G17" s="231">
        <v>55</v>
      </c>
      <c r="H17" s="230">
        <v>50</v>
      </c>
      <c r="I17" s="230">
        <v>55</v>
      </c>
      <c r="J17" s="230">
        <v>60</v>
      </c>
      <c r="K17" s="230">
        <v>65</v>
      </c>
      <c r="L17" s="230">
        <v>70</v>
      </c>
      <c r="M17" s="230">
        <v>75</v>
      </c>
      <c r="N17" s="230">
        <v>80</v>
      </c>
      <c r="O17" s="230">
        <v>85</v>
      </c>
      <c r="P17" s="230">
        <v>90</v>
      </c>
      <c r="Q17" s="230">
        <v>95</v>
      </c>
    </row>
    <row r="18" spans="1:17" x14ac:dyDescent="0.3">
      <c r="A18" s="53" t="s">
        <v>77</v>
      </c>
      <c r="B18" s="54"/>
      <c r="C18" s="244">
        <f t="shared" ref="C18:L18" si="1">C15+C16+C17</f>
        <v>42</v>
      </c>
      <c r="D18" s="244">
        <f t="shared" si="1"/>
        <v>66.599999999999994</v>
      </c>
      <c r="E18" s="244">
        <f t="shared" si="1"/>
        <v>66.400000000000006</v>
      </c>
      <c r="F18" s="244">
        <f t="shared" si="1"/>
        <v>94.3</v>
      </c>
      <c r="G18" s="245">
        <f t="shared" si="1"/>
        <v>102</v>
      </c>
      <c r="H18" s="244">
        <f t="shared" si="1"/>
        <v>96.054794520584906</v>
      </c>
      <c r="I18" s="244">
        <f t="shared" si="1"/>
        <v>108.79119999957229</v>
      </c>
      <c r="J18" s="244">
        <f t="shared" si="1"/>
        <v>121.69681534263458</v>
      </c>
      <c r="K18" s="244">
        <f t="shared" si="1"/>
        <v>135.23960253377044</v>
      </c>
      <c r="L18" s="244">
        <f t="shared" si="1"/>
        <v>148.7392030817648</v>
      </c>
      <c r="M18" s="246">
        <f>M15+M16+M17</f>
        <v>162.07587088145232</v>
      </c>
      <c r="N18" s="246">
        <f>N15+N16+N17</f>
        <v>178.52498599424013</v>
      </c>
      <c r="O18" s="246">
        <f>O15+O16+O17</f>
        <v>194.77945735926306</v>
      </c>
      <c r="P18" s="246">
        <f>P15+P16+P17</f>
        <v>212.33666065465462</v>
      </c>
      <c r="Q18" s="246">
        <f>Q15+Q16+Q17</f>
        <v>232.16265627528631</v>
      </c>
    </row>
    <row r="19" spans="1:17" x14ac:dyDescent="0.3">
      <c r="A19" s="10"/>
      <c r="B19" s="10"/>
      <c r="C19" s="10"/>
      <c r="D19" s="10"/>
      <c r="E19" s="10"/>
      <c r="F19" s="10"/>
      <c r="G19" s="43"/>
      <c r="H19" s="10"/>
      <c r="I19" s="10"/>
      <c r="J19" s="10"/>
      <c r="K19" s="10"/>
      <c r="L19" s="10"/>
      <c r="M19" s="10"/>
      <c r="N19" s="10"/>
      <c r="O19" s="10"/>
      <c r="P19" s="10"/>
      <c r="Q19" s="10"/>
    </row>
    <row r="20" spans="1:17" ht="15" thickBot="1" x14ac:dyDescent="0.35">
      <c r="A20" s="38" t="s">
        <v>78</v>
      </c>
      <c r="B20" s="39"/>
      <c r="C20" s="240">
        <f t="shared" ref="C20:L20" si="2">C8+C11+C12+C18</f>
        <v>97</v>
      </c>
      <c r="D20" s="240">
        <f t="shared" si="2"/>
        <v>152.1</v>
      </c>
      <c r="E20" s="240">
        <f t="shared" si="2"/>
        <v>201.70000000000002</v>
      </c>
      <c r="F20" s="240">
        <f t="shared" si="2"/>
        <v>272.3</v>
      </c>
      <c r="G20" s="241">
        <f t="shared" si="2"/>
        <v>424.29999999999995</v>
      </c>
      <c r="H20" s="240">
        <f t="shared" si="2"/>
        <v>515.10051327064025</v>
      </c>
      <c r="I20" s="240">
        <f t="shared" si="2"/>
        <v>600.83514099885315</v>
      </c>
      <c r="J20" s="240">
        <f t="shared" si="2"/>
        <v>733.03093645304875</v>
      </c>
      <c r="K20" s="240">
        <f t="shared" si="2"/>
        <v>915.74690105577656</v>
      </c>
      <c r="L20" s="240">
        <f t="shared" si="2"/>
        <v>1152.9314786880118</v>
      </c>
      <c r="M20" s="240">
        <f>M8+M11+M12+M18</f>
        <v>1455.8569826076039</v>
      </c>
      <c r="N20" s="240">
        <f>N8+N11+N12+N18</f>
        <v>1834.5662337138376</v>
      </c>
      <c r="O20" s="240">
        <f>O8+O11+O12+O18</f>
        <v>2293.2713475622227</v>
      </c>
      <c r="P20" s="240">
        <f>P8+P11+P12+P18</f>
        <v>2833.9727806775732</v>
      </c>
      <c r="Q20" s="240">
        <f>Q8+Q11+Q12+Q18</f>
        <v>3466.0752484273817</v>
      </c>
    </row>
    <row r="21" spans="1:17" ht="15" thickTop="1" x14ac:dyDescent="0.3">
      <c r="A21" s="10"/>
      <c r="B21" s="10"/>
      <c r="C21" s="10"/>
      <c r="D21" s="10"/>
      <c r="E21" s="10"/>
      <c r="F21" s="10"/>
      <c r="G21" s="43"/>
      <c r="H21" s="10"/>
      <c r="I21" s="10"/>
      <c r="J21" s="10"/>
      <c r="K21" s="10"/>
      <c r="L21" s="10"/>
      <c r="M21" s="10"/>
      <c r="N21" s="10"/>
      <c r="O21" s="10"/>
      <c r="P21" s="10"/>
      <c r="Q21" s="10"/>
    </row>
    <row r="22" spans="1:17" x14ac:dyDescent="0.3">
      <c r="A22" s="55" t="s">
        <v>79</v>
      </c>
      <c r="B22" s="31"/>
      <c r="C22" s="31"/>
      <c r="D22" s="31"/>
      <c r="E22" s="31"/>
      <c r="F22" s="31"/>
      <c r="G22" s="57"/>
      <c r="H22" s="31"/>
      <c r="I22" s="31"/>
      <c r="J22" s="31"/>
      <c r="K22" s="31"/>
      <c r="L22" s="31"/>
      <c r="M22" s="31"/>
      <c r="N22" s="31"/>
      <c r="O22" s="31"/>
      <c r="P22" s="31"/>
      <c r="Q22" s="31"/>
    </row>
    <row r="23" spans="1:17" x14ac:dyDescent="0.3">
      <c r="A23" s="10" t="s">
        <v>80</v>
      </c>
      <c r="B23" s="10"/>
      <c r="C23" s="10"/>
      <c r="D23" s="10"/>
      <c r="E23" s="10"/>
      <c r="F23" s="10"/>
      <c r="G23" s="43"/>
      <c r="H23" s="10"/>
      <c r="I23" s="10"/>
      <c r="J23" s="10"/>
      <c r="K23" s="10"/>
      <c r="L23" s="10"/>
      <c r="M23" s="10"/>
      <c r="N23" s="10"/>
      <c r="O23" s="10"/>
      <c r="P23" s="10"/>
      <c r="Q23" s="10"/>
    </row>
    <row r="24" spans="1:17" x14ac:dyDescent="0.3">
      <c r="A24" s="10" t="s">
        <v>81</v>
      </c>
      <c r="B24" s="10"/>
      <c r="C24" s="230">
        <v>30</v>
      </c>
      <c r="D24" s="230">
        <v>36</v>
      </c>
      <c r="E24" s="230">
        <v>47</v>
      </c>
      <c r="F24" s="230">
        <v>52</v>
      </c>
      <c r="G24" s="231">
        <v>65</v>
      </c>
      <c r="H24" s="230">
        <f>G24+Assumptions!G36-'Income Statement'!H20</f>
        <v>90.224999999999994</v>
      </c>
      <c r="I24" s="230">
        <f>H24+Assumptions!H36-'Income Statement'!I20</f>
        <v>114.27979999999999</v>
      </c>
      <c r="J24" s="230">
        <f>I24+Assumptions!I36-'Income Statement'!J20</f>
        <v>146.55330179999999</v>
      </c>
      <c r="K24" s="230">
        <f>J24+Assumptions!J36-'Income Statement'!K20</f>
        <v>179.12709850739998</v>
      </c>
      <c r="L24" s="230">
        <f>K24+Assumptions!K36-'Income Statement'!L20</f>
        <v>211.33788026263039</v>
      </c>
      <c r="M24" s="230">
        <f>L24+Assumptions!L36-'Income Statement'!M20</f>
        <v>247.44775435610472</v>
      </c>
      <c r="N24" s="230">
        <f>M24+Assumptions!M36-'Income Statement'!N20</f>
        <v>286.29787442920644</v>
      </c>
      <c r="O24" s="230">
        <f>N24+Assumptions!N36-'Income Statement'!O20</f>
        <v>328.53327848400261</v>
      </c>
      <c r="P24" s="230">
        <f>O24+Assumptions!O36-'Income Statement'!P20</f>
        <v>374.39968358499038</v>
      </c>
      <c r="Q24" s="230">
        <f>P24+Assumptions!P36-'Income Statement'!Q20</f>
        <v>420.85371206234123</v>
      </c>
    </row>
    <row r="25" spans="1:17" x14ac:dyDescent="0.3">
      <c r="A25" s="10" t="s">
        <v>82</v>
      </c>
      <c r="B25" s="10"/>
      <c r="C25" s="230">
        <v>5</v>
      </c>
      <c r="D25" s="230">
        <v>8</v>
      </c>
      <c r="E25" s="230">
        <v>12</v>
      </c>
      <c r="F25" s="230">
        <v>15</v>
      </c>
      <c r="G25" s="231">
        <v>20</v>
      </c>
      <c r="H25" s="230">
        <v>70</v>
      </c>
      <c r="I25" s="230">
        <v>30</v>
      </c>
      <c r="J25" s="230">
        <v>35</v>
      </c>
      <c r="K25" s="230">
        <v>40</v>
      </c>
      <c r="L25" s="230">
        <v>45</v>
      </c>
      <c r="M25" s="230">
        <v>50</v>
      </c>
      <c r="N25" s="230">
        <v>55</v>
      </c>
      <c r="O25" s="230">
        <v>60</v>
      </c>
      <c r="P25" s="230">
        <v>65</v>
      </c>
      <c r="Q25" s="230">
        <v>70</v>
      </c>
    </row>
    <row r="26" spans="1:17" x14ac:dyDescent="0.3">
      <c r="A26" s="10" t="s">
        <v>83</v>
      </c>
      <c r="B26" s="10"/>
      <c r="C26" s="230">
        <v>3</v>
      </c>
      <c r="D26" s="230">
        <v>4</v>
      </c>
      <c r="E26" s="230">
        <v>5</v>
      </c>
      <c r="F26" s="230">
        <v>6</v>
      </c>
      <c r="G26" s="231">
        <v>8</v>
      </c>
      <c r="H26" s="230">
        <v>10</v>
      </c>
      <c r="I26" s="230">
        <v>12</v>
      </c>
      <c r="J26" s="230">
        <v>14</v>
      </c>
      <c r="K26" s="230">
        <v>16</v>
      </c>
      <c r="L26" s="230">
        <v>18</v>
      </c>
      <c r="M26" s="230">
        <v>20</v>
      </c>
      <c r="N26" s="230">
        <v>22</v>
      </c>
      <c r="O26" s="230">
        <v>24</v>
      </c>
      <c r="P26" s="230">
        <v>26</v>
      </c>
      <c r="Q26" s="230">
        <v>28</v>
      </c>
    </row>
    <row r="27" spans="1:17" x14ac:dyDescent="0.3">
      <c r="A27" s="10"/>
      <c r="B27" s="10"/>
      <c r="C27" s="10"/>
      <c r="D27" s="10"/>
      <c r="E27" s="10"/>
      <c r="F27" s="10"/>
      <c r="G27" s="43"/>
      <c r="H27" s="10"/>
      <c r="I27" s="10"/>
      <c r="J27" s="10"/>
      <c r="K27" s="10"/>
      <c r="L27" s="10"/>
      <c r="M27" s="10"/>
      <c r="N27" s="10"/>
      <c r="O27" s="10"/>
      <c r="P27" s="10"/>
      <c r="Q27" s="10"/>
    </row>
    <row r="28" spans="1:17" x14ac:dyDescent="0.3">
      <c r="A28" s="10" t="s">
        <v>84</v>
      </c>
      <c r="B28" s="10"/>
      <c r="C28" s="10"/>
      <c r="D28" s="10"/>
      <c r="E28" s="10"/>
      <c r="F28" s="10"/>
      <c r="G28" s="43"/>
      <c r="H28" s="10"/>
      <c r="I28" s="10"/>
      <c r="J28" s="10"/>
      <c r="K28" s="10"/>
      <c r="L28" s="10"/>
      <c r="M28" s="10"/>
      <c r="N28" s="10"/>
      <c r="O28" s="10"/>
      <c r="P28" s="10"/>
      <c r="Q28" s="10"/>
    </row>
    <row r="29" spans="1:17" x14ac:dyDescent="0.3">
      <c r="A29" s="10" t="s">
        <v>85</v>
      </c>
      <c r="B29" s="10"/>
      <c r="C29" s="230">
        <v>11.4</v>
      </c>
      <c r="D29" s="230">
        <v>22</v>
      </c>
      <c r="E29" s="230">
        <v>27.5</v>
      </c>
      <c r="F29" s="230">
        <v>40.700000000000003</v>
      </c>
      <c r="G29" s="231">
        <v>50.8</v>
      </c>
      <c r="H29" s="230">
        <f>'Income Statement'!H11*Assumptions!G34/365</f>
        <v>51.506849315121286</v>
      </c>
      <c r="I29" s="230">
        <f>'Income Statement'!I11*Assumptions!H34/365</f>
        <v>61.952799999421337</v>
      </c>
      <c r="J29" s="230">
        <f>'Income Statement'!J11*Assumptions!I34/365</f>
        <v>72.834296986522148</v>
      </c>
      <c r="K29" s="230">
        <f>'Income Statement'!K11*Assumptions!J34/365</f>
        <v>85.470454882284429</v>
      </c>
      <c r="L29" s="230">
        <f>'Income Statement'!L11*Assumptions!K34/365</f>
        <v>95.924003852205985</v>
      </c>
      <c r="M29" s="230">
        <f>'Income Statement'!M11*Assumptions!L34/365</f>
        <v>108.09418454249254</v>
      </c>
      <c r="N29" s="230">
        <f>'Income Statement'!N11*Assumptions!M34/365</f>
        <v>120.99559683503173</v>
      </c>
      <c r="O29" s="230">
        <f>'Income Statement'!O11*Assumptions!N34/365</f>
        <v>133.30362679339089</v>
      </c>
      <c r="P29" s="230">
        <f>'Income Statement'!P11*Assumptions!O34/365</f>
        <v>146.80399278558554</v>
      </c>
      <c r="Q29" s="230">
        <f>'Income Statement'!Q11*Assumptions!P34/365</f>
        <v>162.1013210526111</v>
      </c>
    </row>
    <row r="30" spans="1:17" x14ac:dyDescent="0.3">
      <c r="A30" s="10" t="s">
        <v>86</v>
      </c>
      <c r="B30" s="10"/>
      <c r="C30" s="230">
        <v>37.5</v>
      </c>
      <c r="D30" s="230">
        <v>66.599999999999994</v>
      </c>
      <c r="E30" s="230">
        <v>84</v>
      </c>
      <c r="F30" s="230">
        <v>101.7</v>
      </c>
      <c r="G30" s="231">
        <v>123.2</v>
      </c>
      <c r="H30" s="230">
        <f>'Income Statement'!H5*Assumptions!G33/365</f>
        <v>129.31506849328323</v>
      </c>
      <c r="I30" s="230">
        <f>'Income Statement'!I5*Assumptions!H33/365</f>
        <v>165.75999999845172</v>
      </c>
      <c r="J30" s="230">
        <f>'Income Statement'!J5*Assumptions!I33/365</f>
        <v>204.48131506911301</v>
      </c>
      <c r="K30" s="230">
        <f>'Income Statement'!K5*Assumptions!J33/365</f>
        <v>248.46062465780358</v>
      </c>
      <c r="L30" s="230">
        <f>'Income Statement'!L5*Assumptions!K33/365</f>
        <v>289.29461479236727</v>
      </c>
      <c r="M30" s="230">
        <f>'Income Statement'!M5*Assumptions!L33/365</f>
        <v>336.8788949156272</v>
      </c>
      <c r="N30" s="230">
        <f>'Income Statement'!N5*Assumptions!M33/365</f>
        <v>380.27187576724259</v>
      </c>
      <c r="O30" s="230">
        <f>'Income Statement'!O5*Assumptions!N33/365</f>
        <v>427.25521408138104</v>
      </c>
      <c r="P30" s="230">
        <f>'Income Statement'!P5*Assumptions!O33/365</f>
        <v>473.74763512074037</v>
      </c>
      <c r="Q30" s="230">
        <f>'Income Statement'!Q5*Assumptions!P33/365</f>
        <v>525.02452162789018</v>
      </c>
    </row>
    <row r="31" spans="1:17" x14ac:dyDescent="0.3">
      <c r="A31" s="10" t="s">
        <v>87</v>
      </c>
      <c r="B31" s="10"/>
      <c r="C31" s="230">
        <v>3</v>
      </c>
      <c r="D31" s="230">
        <v>3.5</v>
      </c>
      <c r="E31" s="230">
        <v>5.3</v>
      </c>
      <c r="F31" s="230">
        <v>15</v>
      </c>
      <c r="G31" s="231">
        <v>120</v>
      </c>
      <c r="H31" s="230">
        <f t="shared" ref="H31:Q31" si="3">H20-H24-H25-H26-H29-H30-H32</f>
        <v>139.05359546223573</v>
      </c>
      <c r="I31" s="230">
        <f t="shared" si="3"/>
        <v>186.84254100098005</v>
      </c>
      <c r="J31" s="230">
        <f t="shared" si="3"/>
        <v>225.16202259741362</v>
      </c>
      <c r="K31" s="230">
        <f t="shared" si="3"/>
        <v>306.68872300828855</v>
      </c>
      <c r="L31" s="230">
        <f t="shared" si="3"/>
        <v>448.37497978080819</v>
      </c>
      <c r="M31" s="230">
        <f t="shared" si="3"/>
        <v>643.43614879337952</v>
      </c>
      <c r="N31" s="230">
        <f t="shared" si="3"/>
        <v>915.00088668235662</v>
      </c>
      <c r="O31" s="230">
        <f t="shared" si="3"/>
        <v>1260.1792282034485</v>
      </c>
      <c r="P31" s="230">
        <f t="shared" si="3"/>
        <v>1683.0214691862568</v>
      </c>
      <c r="Q31" s="230">
        <f t="shared" si="3"/>
        <v>2190.0956936845387</v>
      </c>
    </row>
    <row r="32" spans="1:17" x14ac:dyDescent="0.3">
      <c r="A32" s="10" t="s">
        <v>88</v>
      </c>
      <c r="B32" s="10"/>
      <c r="C32" s="230">
        <v>7.1</v>
      </c>
      <c r="D32" s="230">
        <v>12</v>
      </c>
      <c r="E32" s="230">
        <v>20.9</v>
      </c>
      <c r="F32" s="230">
        <v>41.9</v>
      </c>
      <c r="G32" s="231">
        <v>37.299999999999997</v>
      </c>
      <c r="H32" s="230">
        <v>25</v>
      </c>
      <c r="I32" s="230">
        <v>30</v>
      </c>
      <c r="J32" s="230">
        <v>35</v>
      </c>
      <c r="K32" s="230">
        <v>40</v>
      </c>
      <c r="L32" s="230">
        <v>45</v>
      </c>
      <c r="M32" s="230">
        <v>50</v>
      </c>
      <c r="N32" s="230">
        <v>55</v>
      </c>
      <c r="O32" s="230">
        <v>60</v>
      </c>
      <c r="P32" s="230">
        <v>65</v>
      </c>
      <c r="Q32" s="230">
        <v>70</v>
      </c>
    </row>
    <row r="33" spans="1:17" x14ac:dyDescent="0.3">
      <c r="A33" s="10"/>
      <c r="B33" s="10"/>
      <c r="C33" s="10"/>
      <c r="D33" s="10"/>
      <c r="E33" s="10"/>
      <c r="F33" s="10"/>
      <c r="G33" s="43"/>
      <c r="H33" s="10"/>
      <c r="I33" s="10"/>
      <c r="J33" s="10"/>
      <c r="K33" s="10"/>
      <c r="L33" s="10"/>
      <c r="M33" s="10"/>
      <c r="N33" s="10"/>
      <c r="O33" s="10"/>
      <c r="P33" s="10"/>
      <c r="Q33" s="10"/>
    </row>
    <row r="34" spans="1:17" ht="15" thickBot="1" x14ac:dyDescent="0.35">
      <c r="A34" s="38" t="s">
        <v>89</v>
      </c>
      <c r="B34" s="39"/>
      <c r="C34" s="240">
        <f t="shared" ref="C34:L34" si="4">C24+C25+C26+C29+C30+C31+C32</f>
        <v>97</v>
      </c>
      <c r="D34" s="240">
        <f t="shared" si="4"/>
        <v>152.1</v>
      </c>
      <c r="E34" s="240">
        <f t="shared" si="4"/>
        <v>201.70000000000002</v>
      </c>
      <c r="F34" s="240">
        <f t="shared" si="4"/>
        <v>272.3</v>
      </c>
      <c r="G34" s="241">
        <f t="shared" si="4"/>
        <v>424.3</v>
      </c>
      <c r="H34" s="240">
        <f t="shared" si="4"/>
        <v>515.10051327064025</v>
      </c>
      <c r="I34" s="240">
        <f t="shared" si="4"/>
        <v>600.83514099885315</v>
      </c>
      <c r="J34" s="240">
        <f t="shared" si="4"/>
        <v>733.03093645304875</v>
      </c>
      <c r="K34" s="240">
        <f t="shared" si="4"/>
        <v>915.74690105577656</v>
      </c>
      <c r="L34" s="240">
        <f t="shared" si="4"/>
        <v>1152.9314786880118</v>
      </c>
      <c r="M34" s="240">
        <f>M24+M25+M26+M29+M30+M31+M32</f>
        <v>1455.8569826076041</v>
      </c>
      <c r="N34" s="240">
        <f>N24+N25+N26+N29+N30+N31+N32</f>
        <v>1834.5662337138374</v>
      </c>
      <c r="O34" s="240">
        <f>O24+O25+O26+O29+O30+O31+O32</f>
        <v>2293.2713475622231</v>
      </c>
      <c r="P34" s="240">
        <f>P24+P25+P26+P29+P30+P31+P32</f>
        <v>2833.9727806775732</v>
      </c>
      <c r="Q34" s="240">
        <f>Q24+Q25+Q26+Q29+Q30+Q31+Q32</f>
        <v>3466.0752484273812</v>
      </c>
    </row>
    <row r="35" spans="1:17" ht="15" thickTop="1" x14ac:dyDescent="0.3">
      <c r="A35" s="10"/>
      <c r="B35" s="10"/>
      <c r="C35" s="10"/>
      <c r="D35" s="10"/>
      <c r="E35" s="10"/>
      <c r="F35" s="10"/>
      <c r="G35" s="43"/>
      <c r="H35" s="10"/>
      <c r="I35" s="10"/>
      <c r="J35" s="10"/>
      <c r="K35" s="10"/>
      <c r="L35" s="10"/>
      <c r="M35" s="10"/>
      <c r="N35" s="10"/>
      <c r="O35" s="10"/>
      <c r="P35" s="10"/>
      <c r="Q35" s="10"/>
    </row>
    <row r="36" spans="1:17" x14ac:dyDescent="0.3">
      <c r="A36" s="4" t="s">
        <v>222</v>
      </c>
      <c r="B36" s="4"/>
      <c r="C36" s="255">
        <f>C20-C34</f>
        <v>0</v>
      </c>
      <c r="D36" s="255">
        <f t="shared" ref="D36:L36" si="5">D20-D34</f>
        <v>0</v>
      </c>
      <c r="E36" s="255">
        <f t="shared" si="5"/>
        <v>0</v>
      </c>
      <c r="F36" s="255">
        <f t="shared" si="5"/>
        <v>0</v>
      </c>
      <c r="G36" s="256">
        <f t="shared" si="5"/>
        <v>0</v>
      </c>
      <c r="H36" s="255">
        <f t="shared" si="5"/>
        <v>0</v>
      </c>
      <c r="I36" s="255">
        <f t="shared" si="5"/>
        <v>0</v>
      </c>
      <c r="J36" s="255">
        <f t="shared" si="5"/>
        <v>0</v>
      </c>
      <c r="K36" s="255">
        <f t="shared" si="5"/>
        <v>0</v>
      </c>
      <c r="L36" s="255">
        <f t="shared" si="5"/>
        <v>0</v>
      </c>
      <c r="M36" s="255">
        <f>M20-M34</f>
        <v>0</v>
      </c>
      <c r="N36" s="255">
        <f>N20-N34</f>
        <v>0</v>
      </c>
      <c r="O36" s="255">
        <f>O20-O34</f>
        <v>0</v>
      </c>
      <c r="P36" s="255">
        <f>P20-P34</f>
        <v>0</v>
      </c>
      <c r="Q36" s="255">
        <f>Q20-Q34</f>
        <v>0</v>
      </c>
    </row>
  </sheetData>
  <pageMargins left="0.7" right="0.7" top="0.75" bottom="0.75" header="0.3" footer="0.3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1CD6F1-D8A5-4289-BA73-007526EC4741}">
  <sheetPr>
    <tabColor rgb="FFC55A11"/>
  </sheetPr>
  <dimension ref="A1:Q31"/>
  <sheetViews>
    <sheetView showGridLines="0" workbookViewId="0">
      <pane xSplit="2" ySplit="4" topLeftCell="C5" activePane="bottomRight" state="frozen"/>
      <selection pane="topRight" activeCell="C1" sqref="C1"/>
      <selection pane="bottomLeft" activeCell="A5" sqref="A5"/>
      <selection pane="bottomRight"/>
    </sheetView>
  </sheetViews>
  <sheetFormatPr defaultRowHeight="14.4" x14ac:dyDescent="0.3"/>
  <cols>
    <col min="1" max="1" width="38.88671875" customWidth="1"/>
    <col min="2" max="2" width="1.88671875" customWidth="1"/>
    <col min="3" max="17" width="13.33203125" customWidth="1"/>
  </cols>
  <sheetData>
    <row r="1" spans="1:17" ht="17.399999999999999" x14ac:dyDescent="0.35">
      <c r="A1" s="21" t="s">
        <v>90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</row>
    <row r="2" spans="1:17" x14ac:dyDescent="0.3">
      <c r="A2" s="22" t="s">
        <v>91</v>
      </c>
    </row>
    <row r="4" spans="1:17" ht="15" thickBot="1" x14ac:dyDescent="0.35">
      <c r="A4" s="23" t="s">
        <v>42</v>
      </c>
      <c r="B4" s="24"/>
      <c r="C4" s="25" t="s">
        <v>4</v>
      </c>
      <c r="D4" s="25" t="s">
        <v>5</v>
      </c>
      <c r="E4" s="25" t="s">
        <v>6</v>
      </c>
      <c r="F4" s="25" t="s">
        <v>7</v>
      </c>
      <c r="G4" s="40" t="s">
        <v>8</v>
      </c>
      <c r="H4" s="26" t="s">
        <v>9</v>
      </c>
      <c r="I4" s="26" t="s">
        <v>10</v>
      </c>
      <c r="J4" s="26" t="s">
        <v>11</v>
      </c>
      <c r="K4" s="26" t="s">
        <v>12</v>
      </c>
      <c r="L4" s="26" t="s">
        <v>13</v>
      </c>
      <c r="M4" s="26" t="s">
        <v>240</v>
      </c>
      <c r="N4" s="26" t="s">
        <v>241</v>
      </c>
      <c r="O4" s="26" t="s">
        <v>242</v>
      </c>
      <c r="P4" s="26" t="s">
        <v>243</v>
      </c>
      <c r="Q4" s="26" t="s">
        <v>244</v>
      </c>
    </row>
    <row r="5" spans="1:17" x14ac:dyDescent="0.3">
      <c r="A5" s="49" t="s">
        <v>92</v>
      </c>
      <c r="B5" s="10"/>
      <c r="C5" s="10"/>
      <c r="D5" s="10"/>
      <c r="E5" s="10"/>
      <c r="F5" s="10"/>
      <c r="G5" s="43"/>
      <c r="H5" s="10"/>
      <c r="I5" s="10"/>
      <c r="J5" s="10"/>
      <c r="K5" s="10"/>
      <c r="L5" s="10"/>
      <c r="M5" s="10"/>
      <c r="N5" s="10"/>
      <c r="O5" s="10"/>
      <c r="P5" s="10"/>
      <c r="Q5" s="10"/>
    </row>
    <row r="6" spans="1:17" x14ac:dyDescent="0.3">
      <c r="A6" s="10" t="s">
        <v>93</v>
      </c>
      <c r="B6" s="10"/>
      <c r="C6" s="230">
        <f>'Income Statement'!C26</f>
        <v>10.3</v>
      </c>
      <c r="D6" s="230">
        <f>'Income Statement'!D26</f>
        <v>30.499999999999986</v>
      </c>
      <c r="E6" s="230">
        <f>'Income Statement'!E26</f>
        <v>46.300000000000011</v>
      </c>
      <c r="F6" s="230">
        <f>'Income Statement'!F26</f>
        <v>45.70000000000001</v>
      </c>
      <c r="G6" s="231">
        <f>'Income Statement'!G26</f>
        <v>72.600000000000037</v>
      </c>
      <c r="H6" s="230">
        <f>'Income Statement'!H26</f>
        <v>63.724375000065137</v>
      </c>
      <c r="I6" s="230">
        <f>'Income Statement'!I26</f>
        <v>92.939084999088891</v>
      </c>
      <c r="J6" s="230">
        <f>'Income Statement'!J26</f>
        <v>147.40021189545092</v>
      </c>
      <c r="K6" s="230">
        <f>'Income Statement'!K26</f>
        <v>206.08609107246127</v>
      </c>
      <c r="L6" s="230">
        <f>'Income Statement'!L26</f>
        <v>270.2176200991068</v>
      </c>
      <c r="M6" s="230">
        <f>'Income Statement'!M26</f>
        <v>346.5751013175348</v>
      </c>
      <c r="N6" s="230">
        <f>'Income Statement'!N26</f>
        <v>432.07074822758369</v>
      </c>
      <c r="O6" s="230">
        <f>'Income Statement'!O26</f>
        <v>526.41252056866108</v>
      </c>
      <c r="P6" s="230">
        <f>'Income Statement'!P26</f>
        <v>621.34615272936389</v>
      </c>
      <c r="Q6" s="230">
        <f>'Income Statement'!Q26</f>
        <v>726.20761426961963</v>
      </c>
    </row>
    <row r="7" spans="1:17" x14ac:dyDescent="0.3">
      <c r="A7" s="10" t="s">
        <v>94</v>
      </c>
      <c r="B7" s="10"/>
      <c r="C7" s="230">
        <f>'Income Statement'!C20</f>
        <v>5.5</v>
      </c>
      <c r="D7" s="230">
        <f>'Income Statement'!D20</f>
        <v>6.4</v>
      </c>
      <c r="E7" s="230">
        <f>'Income Statement'!E20</f>
        <v>8</v>
      </c>
      <c r="F7" s="230">
        <f>'Income Statement'!F20</f>
        <v>8.3000000000000007</v>
      </c>
      <c r="G7" s="231">
        <f>'Income Statement'!G20</f>
        <v>10</v>
      </c>
      <c r="H7" s="230">
        <f>'Income Statement'!H20</f>
        <v>9.7750000000000004</v>
      </c>
      <c r="I7" s="230">
        <f>'Income Statement'!I20</f>
        <v>17.9452</v>
      </c>
      <c r="J7" s="230">
        <f>'Income Statement'!J20</f>
        <v>15.7264982</v>
      </c>
      <c r="K7" s="230">
        <f>'Income Statement'!K20</f>
        <v>19.426203292599997</v>
      </c>
      <c r="L7" s="230">
        <f>'Income Statement'!L20</f>
        <v>22.789218244769597</v>
      </c>
      <c r="M7" s="230">
        <f>'Income Statement'!M20</f>
        <v>25.890125906525672</v>
      </c>
      <c r="N7" s="230">
        <f>'Income Statement'!N20</f>
        <v>29.149879926898265</v>
      </c>
      <c r="O7" s="230">
        <f>'Income Statement'!O20</f>
        <v>32.764595945203823</v>
      </c>
      <c r="P7" s="230">
        <f>'Income Statement'!P20</f>
        <v>36.133594899012245</v>
      </c>
      <c r="Q7" s="230">
        <f>'Income Statement'!Q20</f>
        <v>39.545971522649133</v>
      </c>
    </row>
    <row r="8" spans="1:17" x14ac:dyDescent="0.3">
      <c r="A8" s="10" t="s">
        <v>95</v>
      </c>
      <c r="B8" s="10"/>
      <c r="C8" s="230">
        <v>-5</v>
      </c>
      <c r="D8" s="230">
        <v>-12.6</v>
      </c>
      <c r="E8" s="230">
        <v>-28.2</v>
      </c>
      <c r="F8" s="230">
        <v>-21.3</v>
      </c>
      <c r="G8" s="231">
        <v>-36.4</v>
      </c>
      <c r="H8" s="230">
        <f>-('Balance Sheet'!H29-'Balance Sheet'!G29)-('Balance Sheet'!H30-'Balance Sheet'!G30)-('Balance Sheet'!H32-'Balance Sheet'!G32)+('Balance Sheet'!H15-'Balance Sheet'!G15)+('Balance Sheet'!H17-'Balance Sheet'!G17)</f>
        <v>1.5328767121803821</v>
      </c>
      <c r="I8" s="230">
        <f>-('Balance Sheet'!I29-'Balance Sheet'!H29)-('Balance Sheet'!I30-'Balance Sheet'!H30)-('Balance Sheet'!I32-'Balance Sheet'!H32)+('Balance Sheet'!I15-'Balance Sheet'!H15)+('Balance Sheet'!I17-'Balance Sheet'!H17)</f>
        <v>-37.154476710481148</v>
      </c>
      <c r="J8" s="230">
        <f>-('Balance Sheet'!J29-'Balance Sheet'!I29)-('Balance Sheet'!J30-'Balance Sheet'!I30)-('Balance Sheet'!J32-'Balance Sheet'!I32)+('Balance Sheet'!J15-'Balance Sheet'!I15)+('Balance Sheet'!J17-'Balance Sheet'!I17)</f>
        <v>-39.697196714699814</v>
      </c>
      <c r="K8" s="230">
        <f>-('Balance Sheet'!K29-'Balance Sheet'!J29)-('Balance Sheet'!K30-'Balance Sheet'!J30)-('Balance Sheet'!K32-'Balance Sheet'!J32)+('Balance Sheet'!K15-'Balance Sheet'!J15)+('Balance Sheet'!K17-'Balance Sheet'!J17)</f>
        <v>-46.072680293316992</v>
      </c>
      <c r="L8" s="230">
        <f>-('Balance Sheet'!L29-'Balance Sheet'!K29)-('Balance Sheet'!L30-'Balance Sheet'!K30)-('Balance Sheet'!L32-'Balance Sheet'!K32)+('Balance Sheet'!L15-'Balance Sheet'!K15)+('Balance Sheet'!L17-'Balance Sheet'!K17)</f>
        <v>-40.7879385564909</v>
      </c>
      <c r="M8" s="230">
        <f>-('Balance Sheet'!M29-'Balance Sheet'!L29)-('Balance Sheet'!M30-'Balance Sheet'!L30)-('Balance Sheet'!M32-'Balance Sheet'!L32)+('Balance Sheet'!M15-'Balance Sheet'!L15)+('Balance Sheet'!M17-'Balance Sheet'!L17)</f>
        <v>-49.417793013858955</v>
      </c>
      <c r="N8" s="230">
        <f>-('Balance Sheet'!N29-'Balance Sheet'!M29)-('Balance Sheet'!N30-'Balance Sheet'!M30)-('Balance Sheet'!N32-'Balance Sheet'!M32)+('Balance Sheet'!N15-'Balance Sheet'!M15)+('Balance Sheet'!N17-'Balance Sheet'!M17)</f>
        <v>-44.84527803136676</v>
      </c>
      <c r="O8" s="230">
        <f>-('Balance Sheet'!O29-'Balance Sheet'!N29)-('Balance Sheet'!O30-'Balance Sheet'!N30)-('Balance Sheet'!O32-'Balance Sheet'!N32)+('Balance Sheet'!O15-'Balance Sheet'!N15)+('Balance Sheet'!O17-'Balance Sheet'!N17)</f>
        <v>-48.036896907474684</v>
      </c>
      <c r="P8" s="230">
        <f>-('Balance Sheet'!P29-'Balance Sheet'!O29)-('Balance Sheet'!P30-'Balance Sheet'!O30)-('Balance Sheet'!P32-'Balance Sheet'!O32)+('Balance Sheet'!P15-'Balance Sheet'!O15)+('Balance Sheet'!P17-'Balance Sheet'!O17)</f>
        <v>-47.435583736162414</v>
      </c>
      <c r="Q8" s="230">
        <f>-('Balance Sheet'!Q29-'Balance Sheet'!P29)-('Balance Sheet'!Q30-'Balance Sheet'!P30)-('Balance Sheet'!Q32-'Balance Sheet'!P32)+('Balance Sheet'!Q15-'Balance Sheet'!P15)+('Balance Sheet'!Q17-'Balance Sheet'!P17)</f>
        <v>-51.748219153543687</v>
      </c>
    </row>
    <row r="9" spans="1:17" x14ac:dyDescent="0.3">
      <c r="A9" s="51" t="s">
        <v>96</v>
      </c>
      <c r="B9" s="52"/>
      <c r="C9" s="242">
        <f t="shared" ref="C9:L9" si="0">C6+C7+C8</f>
        <v>10.8</v>
      </c>
      <c r="D9" s="242">
        <f t="shared" si="0"/>
        <v>24.299999999999983</v>
      </c>
      <c r="E9" s="242">
        <f t="shared" si="0"/>
        <v>26.100000000000012</v>
      </c>
      <c r="F9" s="242">
        <f t="shared" si="0"/>
        <v>32.700000000000017</v>
      </c>
      <c r="G9" s="243">
        <f t="shared" si="0"/>
        <v>46.200000000000038</v>
      </c>
      <c r="H9" s="242">
        <f t="shared" si="0"/>
        <v>75.032251712245525</v>
      </c>
      <c r="I9" s="242">
        <f t="shared" si="0"/>
        <v>73.729808288607742</v>
      </c>
      <c r="J9" s="242">
        <f t="shared" si="0"/>
        <v>123.42951338075112</v>
      </c>
      <c r="K9" s="242">
        <f t="shared" si="0"/>
        <v>179.4396140717443</v>
      </c>
      <c r="L9" s="242">
        <f t="shared" si="0"/>
        <v>252.21889978738548</v>
      </c>
      <c r="M9" s="242">
        <f>M6+M7+M8</f>
        <v>323.04743421020152</v>
      </c>
      <c r="N9" s="242">
        <f>N6+N7+N8</f>
        <v>416.3753501231152</v>
      </c>
      <c r="O9" s="242">
        <f>O6+O7+O8</f>
        <v>511.14021960639025</v>
      </c>
      <c r="P9" s="242">
        <f>P6+P7+P8</f>
        <v>610.04416389221365</v>
      </c>
      <c r="Q9" s="242">
        <f>Q6+Q7+Q8</f>
        <v>714.00536663872504</v>
      </c>
    </row>
    <row r="10" spans="1:17" x14ac:dyDescent="0.3">
      <c r="A10" s="10"/>
      <c r="B10" s="10"/>
      <c r="C10" s="10"/>
      <c r="D10" s="10"/>
      <c r="E10" s="10"/>
      <c r="F10" s="10"/>
      <c r="G10" s="43"/>
      <c r="H10" s="10"/>
      <c r="I10" s="10"/>
      <c r="J10" s="10"/>
      <c r="K10" s="10"/>
      <c r="L10" s="10"/>
      <c r="M10" s="10"/>
      <c r="N10" s="10"/>
      <c r="O10" s="10"/>
      <c r="P10" s="10"/>
      <c r="Q10" s="10"/>
    </row>
    <row r="11" spans="1:17" x14ac:dyDescent="0.3">
      <c r="A11" s="49" t="s">
        <v>97</v>
      </c>
      <c r="B11" s="10"/>
      <c r="C11" s="10"/>
      <c r="D11" s="10"/>
      <c r="E11" s="10"/>
      <c r="F11" s="10"/>
      <c r="G11" s="43"/>
      <c r="H11" s="10"/>
      <c r="I11" s="10"/>
      <c r="J11" s="10"/>
      <c r="K11" s="10"/>
      <c r="L11" s="10"/>
      <c r="M11" s="10"/>
      <c r="N11" s="10"/>
      <c r="O11" s="10"/>
      <c r="P11" s="10"/>
      <c r="Q11" s="10"/>
    </row>
    <row r="12" spans="1:17" x14ac:dyDescent="0.3">
      <c r="A12" s="10" t="s">
        <v>98</v>
      </c>
      <c r="B12" s="10"/>
      <c r="C12" s="230">
        <v>-8</v>
      </c>
      <c r="D12" s="230">
        <v>-12</v>
      </c>
      <c r="E12" s="230">
        <v>-19</v>
      </c>
      <c r="F12" s="230">
        <v>-14</v>
      </c>
      <c r="G12" s="231">
        <v>-25</v>
      </c>
      <c r="H12" s="230">
        <f>-Assumptions!G36</f>
        <v>-35</v>
      </c>
      <c r="I12" s="230">
        <f>-Assumptions!H36</f>
        <v>-42</v>
      </c>
      <c r="J12" s="230">
        <f>-Assumptions!I36</f>
        <v>-48</v>
      </c>
      <c r="K12" s="230">
        <f>-Assumptions!J36</f>
        <v>-52</v>
      </c>
      <c r="L12" s="230">
        <f>-Assumptions!K36</f>
        <v>-55</v>
      </c>
      <c r="M12" s="230">
        <f>-Assumptions!L36</f>
        <v>-62</v>
      </c>
      <c r="N12" s="230">
        <f>-Assumptions!M36</f>
        <v>-68</v>
      </c>
      <c r="O12" s="230">
        <f>-Assumptions!N36</f>
        <v>-75</v>
      </c>
      <c r="P12" s="230">
        <f>-Assumptions!O36</f>
        <v>-82</v>
      </c>
      <c r="Q12" s="230">
        <f>-Assumptions!P36</f>
        <v>-86</v>
      </c>
    </row>
    <row r="13" spans="1:17" x14ac:dyDescent="0.3">
      <c r="A13" s="10" t="s">
        <v>99</v>
      </c>
      <c r="B13" s="10"/>
      <c r="C13" s="230">
        <v>-2</v>
      </c>
      <c r="D13" s="230">
        <v>-5</v>
      </c>
      <c r="E13" s="230">
        <v>-5</v>
      </c>
      <c r="F13" s="230">
        <v>-5</v>
      </c>
      <c r="G13" s="231">
        <v>-7</v>
      </c>
      <c r="H13" s="230">
        <f>-('Balance Sheet'!H25-'Balance Sheet'!G25)-('Balance Sheet'!H26-'Balance Sheet'!G26)</f>
        <v>-52</v>
      </c>
      <c r="I13" s="230">
        <f>-('Balance Sheet'!I25-'Balance Sheet'!H25)-('Balance Sheet'!I26-'Balance Sheet'!H26)</f>
        <v>38</v>
      </c>
      <c r="J13" s="230">
        <f>-('Balance Sheet'!J25-'Balance Sheet'!I25)-('Balance Sheet'!J26-'Balance Sheet'!I26)</f>
        <v>-7</v>
      </c>
      <c r="K13" s="230">
        <f>-('Balance Sheet'!K25-'Balance Sheet'!J25)-('Balance Sheet'!K26-'Balance Sheet'!J26)</f>
        <v>-7</v>
      </c>
      <c r="L13" s="230">
        <f>-('Balance Sheet'!L25-'Balance Sheet'!K25)-('Balance Sheet'!L26-'Balance Sheet'!K26)</f>
        <v>-7</v>
      </c>
      <c r="M13" s="230">
        <f>-('Balance Sheet'!M25-'Balance Sheet'!L25)-('Balance Sheet'!M26-'Balance Sheet'!L26)</f>
        <v>-7</v>
      </c>
      <c r="N13" s="230">
        <f>-('Balance Sheet'!N25-'Balance Sheet'!M25)-('Balance Sheet'!N26-'Balance Sheet'!M26)</f>
        <v>-7</v>
      </c>
      <c r="O13" s="230">
        <f>-('Balance Sheet'!O25-'Balance Sheet'!N25)-('Balance Sheet'!O26-'Balance Sheet'!N26)</f>
        <v>-7</v>
      </c>
      <c r="P13" s="230">
        <f>-('Balance Sheet'!P25-'Balance Sheet'!O25)-('Balance Sheet'!P26-'Balance Sheet'!O26)</f>
        <v>-7</v>
      </c>
      <c r="Q13" s="230">
        <f>-('Balance Sheet'!Q25-'Balance Sheet'!P25)-('Balance Sheet'!Q26-'Balance Sheet'!P26)</f>
        <v>-7</v>
      </c>
    </row>
    <row r="14" spans="1:17" x14ac:dyDescent="0.3">
      <c r="A14" s="51" t="s">
        <v>100</v>
      </c>
      <c r="B14" s="52"/>
      <c r="C14" s="242">
        <f t="shared" ref="C14:L14" si="1">C12+C13</f>
        <v>-10</v>
      </c>
      <c r="D14" s="242">
        <f t="shared" si="1"/>
        <v>-17</v>
      </c>
      <c r="E14" s="242">
        <f t="shared" si="1"/>
        <v>-24</v>
      </c>
      <c r="F14" s="242">
        <f t="shared" si="1"/>
        <v>-19</v>
      </c>
      <c r="G14" s="243">
        <f t="shared" si="1"/>
        <v>-32</v>
      </c>
      <c r="H14" s="242">
        <f t="shared" si="1"/>
        <v>-87</v>
      </c>
      <c r="I14" s="242">
        <f t="shared" si="1"/>
        <v>-4</v>
      </c>
      <c r="J14" s="242">
        <f t="shared" si="1"/>
        <v>-55</v>
      </c>
      <c r="K14" s="242">
        <f t="shared" si="1"/>
        <v>-59</v>
      </c>
      <c r="L14" s="242">
        <f t="shared" si="1"/>
        <v>-62</v>
      </c>
      <c r="M14" s="242">
        <f>M12+M13</f>
        <v>-69</v>
      </c>
      <c r="N14" s="242">
        <f>N12+N13</f>
        <v>-75</v>
      </c>
      <c r="O14" s="242">
        <f>O12+O13</f>
        <v>-82</v>
      </c>
      <c r="P14" s="242">
        <f>P12+P13</f>
        <v>-89</v>
      </c>
      <c r="Q14" s="242">
        <f>Q12+Q13</f>
        <v>-93</v>
      </c>
    </row>
    <row r="15" spans="1:17" x14ac:dyDescent="0.3">
      <c r="A15" s="10"/>
      <c r="B15" s="10"/>
      <c r="C15" s="10"/>
      <c r="D15" s="10"/>
      <c r="E15" s="10"/>
      <c r="F15" s="10"/>
      <c r="G15" s="43"/>
      <c r="H15" s="10"/>
      <c r="I15" s="10"/>
      <c r="J15" s="10"/>
      <c r="K15" s="10"/>
      <c r="L15" s="10"/>
      <c r="M15" s="10"/>
      <c r="N15" s="10"/>
      <c r="O15" s="10"/>
      <c r="P15" s="10"/>
      <c r="Q15" s="10"/>
    </row>
    <row r="16" spans="1:17" x14ac:dyDescent="0.3">
      <c r="A16" s="49" t="s">
        <v>101</v>
      </c>
      <c r="B16" s="10"/>
      <c r="C16" s="10"/>
      <c r="D16" s="10"/>
      <c r="E16" s="10"/>
      <c r="F16" s="10"/>
      <c r="G16" s="43"/>
      <c r="H16" s="10"/>
      <c r="I16" s="10"/>
      <c r="J16" s="10"/>
      <c r="K16" s="10"/>
      <c r="L16" s="10"/>
      <c r="M16" s="10"/>
      <c r="N16" s="10"/>
      <c r="O16" s="10"/>
      <c r="P16" s="10"/>
      <c r="Q16" s="10"/>
    </row>
    <row r="17" spans="1:17" x14ac:dyDescent="0.3">
      <c r="A17" s="10" t="s">
        <v>102</v>
      </c>
      <c r="B17" s="10"/>
      <c r="C17" s="230">
        <v>-3</v>
      </c>
      <c r="D17" s="230">
        <v>-5</v>
      </c>
      <c r="E17" s="230">
        <v>2</v>
      </c>
      <c r="F17" s="230">
        <v>-1</v>
      </c>
      <c r="G17" s="231">
        <v>100</v>
      </c>
      <c r="H17" s="230">
        <f>('Balance Sheet'!H11-'Balance Sheet'!G11)+('Balance Sheet'!H12-'Balance Sheet'!G12)+('Balance Sheet'!H16-'Balance Sheet'!G16)</f>
        <v>-8</v>
      </c>
      <c r="I17" s="230">
        <f>('Balance Sheet'!I11-'Balance Sheet'!H11)+('Balance Sheet'!I12-'Balance Sheet'!H12)+('Balance Sheet'!I16-'Balance Sheet'!H16)</f>
        <v>-8</v>
      </c>
      <c r="J17" s="230">
        <f>('Balance Sheet'!J11-'Balance Sheet'!I11)+('Balance Sheet'!J12-'Balance Sheet'!I12)+('Balance Sheet'!J16-'Balance Sheet'!I16)</f>
        <v>-8</v>
      </c>
      <c r="K17" s="230">
        <f>('Balance Sheet'!K11-'Balance Sheet'!J11)+('Balance Sheet'!K12-'Balance Sheet'!J12)+('Balance Sheet'!K16-'Balance Sheet'!J16)</f>
        <v>-8</v>
      </c>
      <c r="L17" s="230">
        <f>('Balance Sheet'!L11-'Balance Sheet'!K11)+('Balance Sheet'!L12-'Balance Sheet'!K12)+('Balance Sheet'!L16-'Balance Sheet'!K16)</f>
        <v>-8</v>
      </c>
      <c r="M17" s="230">
        <f>('Balance Sheet'!M11-'Balance Sheet'!L11)+('Balance Sheet'!M12-'Balance Sheet'!L12)+('Balance Sheet'!M16-'Balance Sheet'!L16)</f>
        <v>-7</v>
      </c>
      <c r="N17" s="230">
        <f>('Balance Sheet'!N11-'Balance Sheet'!M11)+('Balance Sheet'!N12-'Balance Sheet'!M12)+('Balance Sheet'!N16-'Balance Sheet'!M16)</f>
        <v>-5</v>
      </c>
      <c r="O17" s="230">
        <f>('Balance Sheet'!O11-'Balance Sheet'!N11)+('Balance Sheet'!O12-'Balance Sheet'!N12)+('Balance Sheet'!O16-'Balance Sheet'!N16)</f>
        <v>-5</v>
      </c>
      <c r="P17" s="230">
        <f>('Balance Sheet'!P11-'Balance Sheet'!O11)+('Balance Sheet'!P12-'Balance Sheet'!O12)+('Balance Sheet'!P16-'Balance Sheet'!O16)</f>
        <v>-5</v>
      </c>
      <c r="Q17" s="230">
        <f>('Balance Sheet'!Q11-'Balance Sheet'!P11)+('Balance Sheet'!Q12-'Balance Sheet'!P12)+('Balance Sheet'!Q16-'Balance Sheet'!P16)</f>
        <v>-5</v>
      </c>
    </row>
    <row r="18" spans="1:17" x14ac:dyDescent="0.3">
      <c r="A18" s="10" t="s">
        <v>134</v>
      </c>
      <c r="B18" s="10"/>
      <c r="C18" s="230">
        <v>-1.8</v>
      </c>
      <c r="D18" s="230">
        <v>-1.8</v>
      </c>
      <c r="E18" s="230">
        <v>-2.2999999999999998</v>
      </c>
      <c r="F18" s="230">
        <v>-3</v>
      </c>
      <c r="G18" s="231">
        <v>-9.1999999999999993</v>
      </c>
      <c r="H18" s="230">
        <f>-'Income Statement'!H26*0.15</f>
        <v>-9.5586562500097703</v>
      </c>
      <c r="I18" s="230">
        <f>-'Income Statement'!I26*0.15</f>
        <v>-13.940862749863333</v>
      </c>
      <c r="J18" s="230">
        <f>-'Income Statement'!J26*0.15</f>
        <v>-22.110031784317638</v>
      </c>
      <c r="K18" s="230">
        <f>-'Income Statement'!K26*0.15</f>
        <v>-30.91291366086919</v>
      </c>
      <c r="L18" s="230">
        <f>-'Income Statement'!L26*0.15</f>
        <v>-40.532643014866018</v>
      </c>
      <c r="M18" s="230">
        <f>-'Income Statement'!M26*0.15</f>
        <v>-51.986265197630217</v>
      </c>
      <c r="N18" s="230">
        <f>-'Income Statement'!N26*0.15</f>
        <v>-64.810612234137551</v>
      </c>
      <c r="O18" s="230">
        <f>-'Income Statement'!O26*0.15</f>
        <v>-78.961878085299162</v>
      </c>
      <c r="P18" s="230">
        <f>-'Income Statement'!P26*0.15</f>
        <v>-93.201922909404587</v>
      </c>
      <c r="Q18" s="230">
        <f>-'Income Statement'!Q26*0.15</f>
        <v>-108.93114214044294</v>
      </c>
    </row>
    <row r="19" spans="1:17" x14ac:dyDescent="0.3">
      <c r="A19" s="51" t="s">
        <v>103</v>
      </c>
      <c r="B19" s="52"/>
      <c r="C19" s="242">
        <f t="shared" ref="C19:L19" si="2">C17+C18</f>
        <v>-4.8</v>
      </c>
      <c r="D19" s="242">
        <f t="shared" si="2"/>
        <v>-6.8</v>
      </c>
      <c r="E19" s="242">
        <f t="shared" si="2"/>
        <v>-0.29999999999999982</v>
      </c>
      <c r="F19" s="242">
        <f t="shared" si="2"/>
        <v>-4</v>
      </c>
      <c r="G19" s="243">
        <f t="shared" si="2"/>
        <v>90.8</v>
      </c>
      <c r="H19" s="242">
        <f t="shared" si="2"/>
        <v>-17.558656250009768</v>
      </c>
      <c r="I19" s="242">
        <f t="shared" si="2"/>
        <v>-21.940862749863335</v>
      </c>
      <c r="J19" s="242">
        <f t="shared" si="2"/>
        <v>-30.110031784317638</v>
      </c>
      <c r="K19" s="242">
        <f t="shared" si="2"/>
        <v>-38.912913660869194</v>
      </c>
      <c r="L19" s="242">
        <f t="shared" si="2"/>
        <v>-48.532643014866018</v>
      </c>
      <c r="M19" s="242">
        <f>M17+M18</f>
        <v>-58.986265197630217</v>
      </c>
      <c r="N19" s="242">
        <f>N17+N18</f>
        <v>-69.810612234137551</v>
      </c>
      <c r="O19" s="242">
        <f>O17+O18</f>
        <v>-83.961878085299162</v>
      </c>
      <c r="P19" s="242">
        <f>P17+P18</f>
        <v>-98.201922909404587</v>
      </c>
      <c r="Q19" s="242">
        <f>Q17+Q18</f>
        <v>-113.93114214044294</v>
      </c>
    </row>
    <row r="20" spans="1:17" x14ac:dyDescent="0.3">
      <c r="A20" s="10"/>
      <c r="B20" s="10"/>
      <c r="C20" s="10"/>
      <c r="D20" s="10"/>
      <c r="E20" s="10"/>
      <c r="F20" s="10"/>
      <c r="G20" s="43"/>
      <c r="H20" s="10"/>
      <c r="I20" s="10"/>
      <c r="J20" s="10"/>
      <c r="K20" s="10"/>
      <c r="L20" s="10"/>
      <c r="M20" s="10"/>
      <c r="N20" s="10"/>
      <c r="O20" s="10"/>
      <c r="P20" s="10"/>
      <c r="Q20" s="10"/>
    </row>
    <row r="21" spans="1:17" x14ac:dyDescent="0.3">
      <c r="A21" s="36" t="s">
        <v>104</v>
      </c>
      <c r="B21" s="37"/>
      <c r="C21" s="247">
        <f t="shared" ref="C21:L21" si="3">C9+C14+C19</f>
        <v>-3.9999999999999991</v>
      </c>
      <c r="D21" s="247">
        <f t="shared" si="3"/>
        <v>0.49999999999998312</v>
      </c>
      <c r="E21" s="247">
        <f t="shared" si="3"/>
        <v>1.8000000000000123</v>
      </c>
      <c r="F21" s="247">
        <f t="shared" si="3"/>
        <v>9.7000000000000171</v>
      </c>
      <c r="G21" s="248">
        <f t="shared" si="3"/>
        <v>105.00000000000003</v>
      </c>
      <c r="H21" s="247">
        <f t="shared" si="3"/>
        <v>-29.526404537764243</v>
      </c>
      <c r="I21" s="247">
        <f t="shared" si="3"/>
        <v>47.788945538744407</v>
      </c>
      <c r="J21" s="247">
        <f t="shared" si="3"/>
        <v>38.319481596433477</v>
      </c>
      <c r="K21" s="247">
        <f t="shared" si="3"/>
        <v>81.526700410875108</v>
      </c>
      <c r="L21" s="247">
        <f t="shared" si="3"/>
        <v>141.68625677251947</v>
      </c>
      <c r="M21" s="247">
        <f>M9+M14+M19</f>
        <v>195.0611690125713</v>
      </c>
      <c r="N21" s="247">
        <f>N9+N14+N19</f>
        <v>271.56473788897767</v>
      </c>
      <c r="O21" s="247">
        <f>O9+O14+O19</f>
        <v>345.17834152109106</v>
      </c>
      <c r="P21" s="247">
        <f>P9+P14+P19</f>
        <v>422.84224098280907</v>
      </c>
      <c r="Q21" s="247">
        <f>Q9+Q14+Q19</f>
        <v>507.07422449828209</v>
      </c>
    </row>
    <row r="22" spans="1:17" x14ac:dyDescent="0.3">
      <c r="A22" s="17" t="s">
        <v>135</v>
      </c>
      <c r="B22" s="18"/>
      <c r="C22" s="249">
        <v>7</v>
      </c>
      <c r="D22" s="249">
        <f>'Balance Sheet'!C31</f>
        <v>3</v>
      </c>
      <c r="E22" s="249">
        <f>'Balance Sheet'!D31</f>
        <v>3.5</v>
      </c>
      <c r="F22" s="249">
        <f>'Balance Sheet'!E31</f>
        <v>5.3</v>
      </c>
      <c r="G22" s="250">
        <f>'Balance Sheet'!F31</f>
        <v>15</v>
      </c>
      <c r="H22" s="249">
        <f>'Balance Sheet'!G31</f>
        <v>120</v>
      </c>
      <c r="I22" s="249">
        <f>'Balance Sheet'!H31</f>
        <v>139.05359546223573</v>
      </c>
      <c r="J22" s="249">
        <f>'Balance Sheet'!I31</f>
        <v>186.84254100098005</v>
      </c>
      <c r="K22" s="249">
        <f>'Balance Sheet'!J31</f>
        <v>225.16202259741362</v>
      </c>
      <c r="L22" s="249">
        <f>'Balance Sheet'!K31</f>
        <v>306.68872300828855</v>
      </c>
      <c r="M22" s="249">
        <f>'Balance Sheet'!L31</f>
        <v>448.37497978080819</v>
      </c>
      <c r="N22" s="249">
        <f>'Balance Sheet'!M31</f>
        <v>643.43614879337952</v>
      </c>
      <c r="O22" s="249">
        <f>'Balance Sheet'!N31</f>
        <v>915.00088668235662</v>
      </c>
      <c r="P22" s="249">
        <f>'Balance Sheet'!O31</f>
        <v>1260.1792282034485</v>
      </c>
      <c r="Q22" s="249">
        <f>'Balance Sheet'!P31</f>
        <v>1683.0214691862568</v>
      </c>
    </row>
    <row r="23" spans="1:17" ht="15" thickBot="1" x14ac:dyDescent="0.35">
      <c r="A23" s="64" t="s">
        <v>136</v>
      </c>
      <c r="B23" s="65"/>
      <c r="C23" s="251">
        <f t="shared" ref="C23:L23" si="4">C21+C22</f>
        <v>3.0000000000000009</v>
      </c>
      <c r="D23" s="251">
        <f t="shared" si="4"/>
        <v>3.4999999999999831</v>
      </c>
      <c r="E23" s="251">
        <f t="shared" si="4"/>
        <v>5.3000000000000123</v>
      </c>
      <c r="F23" s="251">
        <f t="shared" si="4"/>
        <v>15.000000000000018</v>
      </c>
      <c r="G23" s="252">
        <f t="shared" si="4"/>
        <v>120.00000000000003</v>
      </c>
      <c r="H23" s="251">
        <f t="shared" si="4"/>
        <v>90.47359546223575</v>
      </c>
      <c r="I23" s="251">
        <f t="shared" si="4"/>
        <v>186.84254100098013</v>
      </c>
      <c r="J23" s="251">
        <f t="shared" si="4"/>
        <v>225.16202259741351</v>
      </c>
      <c r="K23" s="251">
        <f t="shared" si="4"/>
        <v>306.68872300828872</v>
      </c>
      <c r="L23" s="251">
        <f t="shared" si="4"/>
        <v>448.37497978080802</v>
      </c>
      <c r="M23" s="251">
        <f>M21+M22</f>
        <v>643.43614879337952</v>
      </c>
      <c r="N23" s="251">
        <f>N21+N22</f>
        <v>915.00088668235719</v>
      </c>
      <c r="O23" s="251">
        <f>O21+O22</f>
        <v>1260.1792282034476</v>
      </c>
      <c r="P23" s="251">
        <f>P21+P22</f>
        <v>1683.0214691862575</v>
      </c>
      <c r="Q23" s="251">
        <f>Q21+Q22</f>
        <v>2190.0956936845387</v>
      </c>
    </row>
    <row r="24" spans="1:17" ht="15" thickTop="1" x14ac:dyDescent="0.3">
      <c r="A24" s="10"/>
      <c r="B24" s="10"/>
      <c r="C24" s="10"/>
      <c r="D24" s="10"/>
      <c r="E24" s="10"/>
      <c r="F24" s="10"/>
      <c r="G24" s="43"/>
      <c r="H24" s="10"/>
      <c r="I24" s="10"/>
      <c r="J24" s="10"/>
      <c r="K24" s="10"/>
      <c r="L24" s="10"/>
      <c r="M24" s="10"/>
      <c r="N24" s="10"/>
      <c r="O24" s="10"/>
      <c r="P24" s="10"/>
      <c r="Q24" s="10"/>
    </row>
    <row r="25" spans="1:17" x14ac:dyDescent="0.3">
      <c r="A25" s="53" t="s">
        <v>105</v>
      </c>
      <c r="B25" s="54"/>
      <c r="C25" s="244">
        <f t="shared" ref="C25:L25" si="5">C9+C12</f>
        <v>2.8000000000000007</v>
      </c>
      <c r="D25" s="244">
        <f t="shared" si="5"/>
        <v>12.299999999999983</v>
      </c>
      <c r="E25" s="244">
        <f t="shared" si="5"/>
        <v>7.1000000000000121</v>
      </c>
      <c r="F25" s="244">
        <f t="shared" si="5"/>
        <v>18.700000000000017</v>
      </c>
      <c r="G25" s="245">
        <f t="shared" si="5"/>
        <v>21.200000000000038</v>
      </c>
      <c r="H25" s="244">
        <f t="shared" si="5"/>
        <v>40.032251712245525</v>
      </c>
      <c r="I25" s="244">
        <f t="shared" si="5"/>
        <v>31.729808288607742</v>
      </c>
      <c r="J25" s="244">
        <f t="shared" si="5"/>
        <v>75.429513380751118</v>
      </c>
      <c r="K25" s="244">
        <f t="shared" si="5"/>
        <v>127.4396140717443</v>
      </c>
      <c r="L25" s="244">
        <f t="shared" si="5"/>
        <v>197.21889978738548</v>
      </c>
      <c r="M25" s="244">
        <f>M9+M12</f>
        <v>261.04743421020152</v>
      </c>
      <c r="N25" s="244">
        <f>N9+N12</f>
        <v>348.3753501231152</v>
      </c>
      <c r="O25" s="244">
        <f>O9+O12</f>
        <v>436.14021960639025</v>
      </c>
      <c r="P25" s="244">
        <f>P9+P12</f>
        <v>528.04416389221365</v>
      </c>
      <c r="Q25" s="244">
        <f>Q9+Q12</f>
        <v>628.00536663872504</v>
      </c>
    </row>
    <row r="26" spans="1:17" x14ac:dyDescent="0.3">
      <c r="A26" s="10" t="s">
        <v>106</v>
      </c>
      <c r="B26" s="10"/>
      <c r="C26" s="12">
        <f>C25/'Income Statement'!C5</f>
        <v>3.0701754385964918E-2</v>
      </c>
      <c r="D26" s="12">
        <f>D25/'Income Statement'!D5</f>
        <v>6.6847826086956427E-2</v>
      </c>
      <c r="E26" s="12">
        <f>E25/'Income Statement'!E5</f>
        <v>3.1263760457948098E-2</v>
      </c>
      <c r="F26" s="12">
        <f>F25/'Income Statement'!F5</f>
        <v>6.2941770447660778E-2</v>
      </c>
      <c r="G26" s="42">
        <f>G25/'Income Statement'!G5</f>
        <v>5.748373101952288E-2</v>
      </c>
      <c r="H26" s="12">
        <f>H25/'Income Statement'!H5</f>
        <v>0.10008062928051123</v>
      </c>
      <c r="I26" s="12">
        <f>I25/'Income Statement'!I5</f>
        <v>5.8737149738808059E-2</v>
      </c>
      <c r="J26" s="12">
        <f>J25/'Income Statement'!J5</f>
        <v>0.10611679165989857</v>
      </c>
      <c r="K26" s="12">
        <f>K25/'Income Statement'!K5</f>
        <v>0.14052513474708195</v>
      </c>
      <c r="L26" s="12">
        <f>L25/'Income Statement'!L5</f>
        <v>0.17743484978745877</v>
      </c>
      <c r="M26" s="58">
        <f>M25/'Income Statement'!M5</f>
        <v>0.19531724421753421</v>
      </c>
      <c r="N26" s="58">
        <f>N25/'Income Statement'!N5</f>
        <v>0.22087319780275283</v>
      </c>
      <c r="O26" s="58">
        <f>O25/'Income Statement'!O5</f>
        <v>0.23771951074876013</v>
      </c>
      <c r="P26" s="58">
        <f>P25/'Income Statement'!P5</f>
        <v>0.25040568234833543</v>
      </c>
      <c r="Q26" s="58">
        <f>Q25/'Income Statement'!Q5</f>
        <v>0.2621687296418842</v>
      </c>
    </row>
    <row r="27" spans="1:17" x14ac:dyDescent="0.3">
      <c r="A27" s="10"/>
      <c r="B27" s="10"/>
      <c r="C27" s="10"/>
      <c r="D27" s="10"/>
      <c r="E27" s="10"/>
      <c r="F27" s="10"/>
      <c r="G27" s="43"/>
      <c r="H27" s="10"/>
      <c r="I27" s="10"/>
      <c r="J27" s="10"/>
      <c r="K27" s="10"/>
      <c r="L27" s="10"/>
      <c r="M27" s="10"/>
      <c r="N27" s="10"/>
      <c r="O27" s="10"/>
      <c r="P27" s="10"/>
      <c r="Q27" s="10"/>
    </row>
    <row r="28" spans="1:17" x14ac:dyDescent="0.3">
      <c r="A28" s="10"/>
      <c r="B28" s="10"/>
      <c r="C28" s="10"/>
      <c r="D28" s="10"/>
      <c r="E28" s="10"/>
      <c r="F28" s="10"/>
      <c r="G28" s="43"/>
      <c r="H28" s="10"/>
      <c r="I28" s="10"/>
      <c r="J28" s="10"/>
      <c r="K28" s="10"/>
      <c r="L28" s="10"/>
      <c r="M28" s="10"/>
      <c r="N28" s="10"/>
      <c r="O28" s="10"/>
      <c r="P28" s="10"/>
      <c r="Q28" s="10"/>
    </row>
    <row r="29" spans="1:17" x14ac:dyDescent="0.3">
      <c r="A29" s="59" t="s">
        <v>254</v>
      </c>
      <c r="B29" s="10"/>
      <c r="C29" s="10"/>
      <c r="D29" s="10"/>
      <c r="E29" s="10"/>
      <c r="F29" s="10"/>
      <c r="G29" s="43"/>
      <c r="H29" s="10"/>
      <c r="I29" s="10"/>
      <c r="J29" s="10"/>
      <c r="K29" s="10"/>
      <c r="L29" s="10"/>
      <c r="M29" s="10"/>
      <c r="N29" s="10"/>
      <c r="O29" s="10"/>
      <c r="P29" s="10"/>
      <c r="Q29" s="10"/>
    </row>
    <row r="30" spans="1:17" x14ac:dyDescent="0.3">
      <c r="A30" s="68" t="s">
        <v>255</v>
      </c>
      <c r="B30" s="54"/>
      <c r="C30" s="253">
        <f>('Income Statement'!C17-'Income Statement'!C20)*(1-'Income Statement'!C24)+'Income Statement'!C20+C12-C8</f>
        <v>12.507801418439719</v>
      </c>
      <c r="D30" s="253">
        <f>('Income Statement'!D17-'Income Statement'!D20)*(1-'Income Statement'!D24)+'Income Statement'!D20+D12-D8</f>
        <v>35.003836317135537</v>
      </c>
      <c r="E30" s="253">
        <f>('Income Statement'!E17-'Income Statement'!E20)*(1-'Income Statement'!E24)+'Income Statement'!E20+E12-E8</f>
        <v>61.987477313974608</v>
      </c>
      <c r="F30" s="253">
        <f>('Income Statement'!F17-'Income Statement'!F20)*(1-'Income Statement'!F24)+'Income Statement'!F20+F12-F8</f>
        <v>57.152846975088977</v>
      </c>
      <c r="G30" s="254">
        <f>('Income Statement'!G17-'Income Statement'!G20)*(1-'Income Statement'!G24)+'Income Statement'!G20+G12-G8</f>
        <v>86.993968636911973</v>
      </c>
      <c r="H30" s="253">
        <f>('Income Statement'!H17-'Income Statement'!H20)*(1-'Income Statement'!H24)+'Income Statement'!H20+H12-H8</f>
        <v>33.866498287889527</v>
      </c>
      <c r="I30" s="253">
        <f>('Income Statement'!I17-'Income Statement'!I20)*(1-'Income Statement'!I24)+'Income Statement'!I20+I12-I8</f>
        <v>101.7626217095231</v>
      </c>
      <c r="J30" s="253">
        <f>('Income Statement'!J17-'Income Statement'!J20)*(1-'Income Statement'!J24)+'Income Statement'!J20+J12-J8</f>
        <v>149.48273081016742</v>
      </c>
      <c r="K30" s="253">
        <f>('Income Statement'!K17-'Income Statement'!K20)*(1-'Income Statement'!K24)+'Income Statement'!K20+K12-K8</f>
        <v>212.8076385943844</v>
      </c>
      <c r="L30" s="253">
        <f>('Income Statement'!L17-'Income Statement'!L20)*(1-'Income Statement'!L24)+'Income Statement'!L20+L12-L8</f>
        <v>270.87466636474346</v>
      </c>
      <c r="M30" s="253">
        <f>('Income Statement'!M17-'Income Statement'!M20)*(1-'Income Statement'!M24)+'Income Statement'!M20+M12-M8</f>
        <v>350.59788659004494</v>
      </c>
      <c r="N30" s="253">
        <f>('Income Statement'!N17-'Income Statement'!N20)*(1-'Income Statement'!N24)+'Income Statement'!N20+N12-N8</f>
        <v>427.12780430276121</v>
      </c>
      <c r="O30" s="253">
        <f>('Income Statement'!O17-'Income Statement'!O20)*(1-'Income Statement'!O24)+'Income Statement'!O20+O12-O8</f>
        <v>520.7234145203555</v>
      </c>
      <c r="P30" s="253">
        <f>('Income Statement'!P17-'Income Statement'!P20)*(1-'Income Statement'!P24)+'Income Statement'!P20+P12-P8</f>
        <v>609.30247098818631</v>
      </c>
      <c r="Q30" s="253">
        <f>('Income Statement'!Q17-'Income Statement'!Q20)*(1-'Income Statement'!Q24)+'Income Statement'!Q20+Q12-Q8</f>
        <v>717.22762052358689</v>
      </c>
    </row>
    <row r="31" spans="1:17" x14ac:dyDescent="0.3">
      <c r="A31" s="62" t="s">
        <v>256</v>
      </c>
      <c r="B31" s="10"/>
      <c r="C31" s="63">
        <f>C30/'Income Statement'!C5</f>
        <v>0.1371469453776285</v>
      </c>
      <c r="D31" s="63">
        <f>D30/'Income Statement'!D5</f>
        <v>0.19023824085399749</v>
      </c>
      <c r="E31" s="63">
        <f>E30/'Income Statement'!E5</f>
        <v>0.27295234396290008</v>
      </c>
      <c r="F31" s="63">
        <f>F30/'Income Statement'!F5</f>
        <v>0.19236905747253105</v>
      </c>
      <c r="G31" s="69">
        <f>G30/'Income Statement'!G5</f>
        <v>0.23588386289835134</v>
      </c>
      <c r="H31" s="63">
        <f>H30/'Income Statement'!H5</f>
        <v>8.4666245719637032E-2</v>
      </c>
      <c r="I31" s="63">
        <f>I30/'Income Statement'!I5</f>
        <v>0.1883795292678149</v>
      </c>
      <c r="J31" s="63">
        <f>J30/'Income Statement'!J5</f>
        <v>0.21029736360705764</v>
      </c>
      <c r="K31" s="63">
        <f>K30/'Income Statement'!K5</f>
        <v>0.23465876216361387</v>
      </c>
      <c r="L31" s="63">
        <f>L30/'Income Statement'!L5</f>
        <v>0.24370182467030704</v>
      </c>
      <c r="M31" s="63">
        <f>M30/'Income Statement'!M5</f>
        <v>0.26231942575662026</v>
      </c>
      <c r="N31" s="63">
        <f>N30/'Income Statement'!N5</f>
        <v>0.27080298297075067</v>
      </c>
      <c r="O31" s="63">
        <f>O30/'Income Statement'!O5</f>
        <v>0.28382183016030432</v>
      </c>
      <c r="P31" s="63">
        <f>P30/'Income Statement'!P5</f>
        <v>0.28893947028920741</v>
      </c>
      <c r="Q31" s="63">
        <f>Q30/'Income Statement'!Q5</f>
        <v>0.29941568038368621</v>
      </c>
    </row>
  </sheetData>
  <pageMargins left="0.7" right="0.7" top="0.75" bottom="0.75" header="0.3" footer="0.3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A918B7-D79D-4A95-A08D-C99918D923F5}">
  <sheetPr>
    <tabColor rgb="FF7030A0"/>
  </sheetPr>
  <dimension ref="A1:Q42"/>
  <sheetViews>
    <sheetView showGridLines="0" workbookViewId="0">
      <pane xSplit="2" ySplit="4" topLeftCell="C5" activePane="bottomRight" state="frozen"/>
      <selection pane="topRight" activeCell="C1" sqref="C1"/>
      <selection pane="bottomLeft" activeCell="A5" sqref="A5"/>
      <selection pane="bottomRight"/>
    </sheetView>
  </sheetViews>
  <sheetFormatPr defaultRowHeight="14.4" x14ac:dyDescent="0.3"/>
  <cols>
    <col min="1" max="1" width="38.88671875" customWidth="1"/>
    <col min="2" max="2" width="1.88671875" customWidth="1"/>
    <col min="3" max="17" width="13.33203125" customWidth="1"/>
  </cols>
  <sheetData>
    <row r="1" spans="1:17" ht="17.399999999999999" x14ac:dyDescent="0.35">
      <c r="A1" s="21" t="s">
        <v>107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 x14ac:dyDescent="0.3">
      <c r="A2" s="22" t="s">
        <v>108</v>
      </c>
    </row>
    <row r="4" spans="1:17" x14ac:dyDescent="0.3">
      <c r="A4" s="75" t="s">
        <v>109</v>
      </c>
      <c r="B4" s="76"/>
      <c r="C4" s="77" t="s">
        <v>4</v>
      </c>
      <c r="D4" s="77" t="s">
        <v>5</v>
      </c>
      <c r="E4" s="77" t="s">
        <v>6</v>
      </c>
      <c r="F4" s="77" t="s">
        <v>7</v>
      </c>
      <c r="G4" s="84" t="s">
        <v>8</v>
      </c>
      <c r="H4" s="78" t="s">
        <v>9</v>
      </c>
      <c r="I4" s="78" t="s">
        <v>10</v>
      </c>
      <c r="J4" s="78" t="s">
        <v>11</v>
      </c>
      <c r="K4" s="78" t="s">
        <v>12</v>
      </c>
      <c r="L4" s="78" t="s">
        <v>13</v>
      </c>
      <c r="M4" s="78" t="s">
        <v>240</v>
      </c>
      <c r="N4" s="78" t="s">
        <v>241</v>
      </c>
      <c r="O4" s="78" t="s">
        <v>242</v>
      </c>
      <c r="P4" s="78" t="s">
        <v>243</v>
      </c>
      <c r="Q4" s="78" t="s">
        <v>244</v>
      </c>
    </row>
    <row r="5" spans="1:17" x14ac:dyDescent="0.3">
      <c r="A5" s="79" t="s">
        <v>110</v>
      </c>
      <c r="B5" s="80"/>
      <c r="C5" s="80"/>
      <c r="D5" s="80"/>
      <c r="E5" s="80"/>
      <c r="F5" s="80"/>
      <c r="G5" s="85"/>
      <c r="H5" s="80"/>
      <c r="I5" s="80"/>
      <c r="J5" s="80"/>
      <c r="K5" s="80"/>
      <c r="L5" s="80"/>
      <c r="M5" s="80"/>
      <c r="N5" s="80"/>
      <c r="O5" s="80"/>
      <c r="P5" s="80"/>
      <c r="Q5" s="80"/>
    </row>
    <row r="6" spans="1:17" x14ac:dyDescent="0.3">
      <c r="A6" s="10" t="s">
        <v>111</v>
      </c>
      <c r="B6" s="10"/>
      <c r="C6" s="70">
        <f>('Income Statement'!C5-'Income Statement'!C11)/'Income Statement'!C5</f>
        <v>0.49013157894736842</v>
      </c>
      <c r="D6" s="70">
        <f>('Income Statement'!D5-'Income Statement'!D11)/'Income Statement'!D5</f>
        <v>0.49021739130434783</v>
      </c>
      <c r="E6" s="70">
        <f>('Income Statement'!E5-'Income Statement'!E11)/'Income Statement'!E5</f>
        <v>0.53500660501981512</v>
      </c>
      <c r="F6" s="70">
        <f>('Income Statement'!F5-'Income Statement'!F11)/'Income Statement'!F5</f>
        <v>0.49983170649612929</v>
      </c>
      <c r="G6" s="86">
        <f>('Income Statement'!G5-'Income Statement'!G11)/'Income Statement'!G5</f>
        <v>0.52006507592190887</v>
      </c>
      <c r="H6" s="70">
        <f>('Income Statement'!H5-'Income Statement'!H11)/'Income Statement'!H5</f>
        <v>0.53</v>
      </c>
      <c r="I6" s="70">
        <f>('Income Statement'!I5-'Income Statement'!I11)/'Income Statement'!I5</f>
        <v>0.54500000000000004</v>
      </c>
      <c r="J6" s="70">
        <f>('Income Statement'!J5-'Income Statement'!J11)/'Income Statement'!J5</f>
        <v>0.56000000000000005</v>
      </c>
      <c r="K6" s="70">
        <f>('Income Statement'!K5-'Income Statement'!K11)/'Income Statement'!K5</f>
        <v>0.56999999999999995</v>
      </c>
      <c r="L6" s="70">
        <f>('Income Statement'!L5-'Income Statement'!L11)/'Income Statement'!L5</f>
        <v>0.57999999999999996</v>
      </c>
      <c r="M6" s="71">
        <f>('Income Statement'!M5-'Income Statement'!M11)/'Income Statement'!M5</f>
        <v>0.59000000000000008</v>
      </c>
      <c r="N6" s="71">
        <f>('Income Statement'!N5-'Income Statement'!N11)/'Income Statement'!N5</f>
        <v>0.6</v>
      </c>
      <c r="O6" s="71">
        <f>('Income Statement'!O5-'Income Statement'!O11)/'Income Statement'!O5</f>
        <v>0.6100000000000001</v>
      </c>
      <c r="P6" s="71">
        <f>('Income Statement'!P5-'Income Statement'!P11)/'Income Statement'!P5</f>
        <v>0.61499999999999999</v>
      </c>
      <c r="Q6" s="71">
        <f>('Income Statement'!Q5-'Income Statement'!Q11)/'Income Statement'!Q5</f>
        <v>0.62</v>
      </c>
    </row>
    <row r="7" spans="1:17" x14ac:dyDescent="0.3">
      <c r="A7" s="10" t="s">
        <v>27</v>
      </c>
      <c r="B7" s="10"/>
      <c r="C7" s="70">
        <f>'Income Statement'!C18</f>
        <v>0.2105263157894737</v>
      </c>
      <c r="D7" s="70">
        <f>'Income Statement'!D18</f>
        <v>0.22989130434782598</v>
      </c>
      <c r="E7" s="70">
        <f>'Income Statement'!E18</f>
        <v>0.2699251431087627</v>
      </c>
      <c r="F7" s="70">
        <f>'Income Statement'!F18</f>
        <v>0.19993268259845171</v>
      </c>
      <c r="G7" s="86">
        <f>'Income Statement'!G18</f>
        <v>0.23020607375271157</v>
      </c>
      <c r="H7" s="70">
        <f>'Income Statement'!H18</f>
        <v>0.22000000000000003</v>
      </c>
      <c r="I7" s="70">
        <f>'Income Statement'!I18</f>
        <v>0.24500000000000002</v>
      </c>
      <c r="J7" s="70">
        <f>'Income Statement'!J18</f>
        <v>0.28000000000000008</v>
      </c>
      <c r="K7" s="70">
        <f>'Income Statement'!K18</f>
        <v>0.30500000000000005</v>
      </c>
      <c r="L7" s="70">
        <f>'Income Statement'!L18</f>
        <v>0.32500000000000001</v>
      </c>
      <c r="M7" s="71">
        <f>'Income Statement'!M18</f>
        <v>0.34500000000000008</v>
      </c>
      <c r="N7" s="71">
        <f>'Income Statement'!N18</f>
        <v>0.36299999999999999</v>
      </c>
      <c r="O7" s="71">
        <f>'Income Statement'!O18</f>
        <v>0.38</v>
      </c>
      <c r="P7" s="71">
        <f>'Income Statement'!P18</f>
        <v>0.3889999999999999</v>
      </c>
      <c r="Q7" s="71">
        <f>'Income Statement'!Q18</f>
        <v>0.4</v>
      </c>
    </row>
    <row r="8" spans="1:17" x14ac:dyDescent="0.3">
      <c r="A8" s="10" t="s">
        <v>30</v>
      </c>
      <c r="B8" s="10"/>
      <c r="C8" s="70">
        <f>'Income Statement'!C27</f>
        <v>0.11293859649122807</v>
      </c>
      <c r="D8" s="70">
        <f>'Income Statement'!D27</f>
        <v>0.16576086956521732</v>
      </c>
      <c r="E8" s="70">
        <f>'Income Statement'!E27</f>
        <v>0.20387494495816827</v>
      </c>
      <c r="F8" s="70">
        <f>'Income Statement'!F27</f>
        <v>0.15382026253786607</v>
      </c>
      <c r="G8" s="86">
        <f>'Income Statement'!G27</f>
        <v>0.19685466377440355</v>
      </c>
      <c r="H8" s="70">
        <f>'Income Statement'!H27</f>
        <v>0.15931093749999956</v>
      </c>
      <c r="I8" s="70">
        <f>'Income Statement'!I27</f>
        <v>0.17204569603842462</v>
      </c>
      <c r="J8" s="70">
        <f>'Income Statement'!J27</f>
        <v>0.20736760553364597</v>
      </c>
      <c r="K8" s="70">
        <f>'Income Statement'!K27</f>
        <v>0.22724704502913309</v>
      </c>
      <c r="L8" s="70">
        <f>'Income Statement'!L27</f>
        <v>0.24311069012096953</v>
      </c>
      <c r="M8" s="71">
        <f>'Income Statement'!M27</f>
        <v>0.25930955386922649</v>
      </c>
      <c r="N8" s="71">
        <f>'Income Statement'!N27</f>
        <v>0.27393685518888955</v>
      </c>
      <c r="O8" s="71">
        <f>'Income Statement'!O27</f>
        <v>0.28692269416138533</v>
      </c>
      <c r="P8" s="71">
        <f>'Income Statement'!P27</f>
        <v>0.29465074701681343</v>
      </c>
      <c r="Q8" s="71">
        <f>'Income Statement'!Q27</f>
        <v>0.30316449158444114</v>
      </c>
    </row>
    <row r="9" spans="1:17" x14ac:dyDescent="0.3">
      <c r="A9" s="10" t="s">
        <v>112</v>
      </c>
      <c r="B9" s="10"/>
      <c r="C9" s="70">
        <f>'Income Statement'!C26/'Balance Sheet'!C8</f>
        <v>0.21458333333333335</v>
      </c>
      <c r="D9" s="70">
        <f>'Income Statement'!D26/'Balance Sheet'!D8</f>
        <v>0.38853503184713356</v>
      </c>
      <c r="E9" s="70">
        <f>'Income Statement'!E26/'Balance Sheet'!E8</f>
        <v>0.37099358974358987</v>
      </c>
      <c r="F9" s="70">
        <f>'Income Statement'!F26/'Balance Sheet'!F8</f>
        <v>0.27365269461077851</v>
      </c>
      <c r="G9" s="86">
        <f>'Income Statement'!G26/'Balance Sheet'!G8</f>
        <v>0.36796756208819081</v>
      </c>
      <c r="H9" s="70">
        <f>'Income Statement'!H26/'Balance Sheet'!H8</f>
        <v>0.21238221716854069</v>
      </c>
      <c r="I9" s="70">
        <f>'Income Statement'!I26/'Balance Sheet'!I8</f>
        <v>0.24519343259800375</v>
      </c>
      <c r="J9" s="70">
        <f>'Income Statement'!J26/'Balance Sheet'!J8</f>
        <v>0.29226698279091951</v>
      </c>
      <c r="K9" s="70">
        <f>'Income Statement'!K26/'Balance Sheet'!K8</f>
        <v>0.30328753130498876</v>
      </c>
      <c r="L9" s="70">
        <f>'Income Statement'!L26/'Balance Sheet'!L8</f>
        <v>0.29720624267174556</v>
      </c>
      <c r="M9" s="71">
        <f>'Income Statement'!M26/'Balance Sheet'!M8</f>
        <v>0.28790541564534639</v>
      </c>
      <c r="N9" s="71">
        <f>'Income Statement'!N26/'Balance Sheet'!N8</f>
        <v>0.2750218995553072</v>
      </c>
      <c r="O9" s="71">
        <f>'Income Statement'!O26/'Balance Sheet'!O8</f>
        <v>0.26079496436110539</v>
      </c>
      <c r="P9" s="71">
        <f>'Income Statement'!P26/'Balance Sheet'!P8</f>
        <v>0.24398701795047661</v>
      </c>
      <c r="Q9" s="71">
        <f>'Income Statement'!Q26/'Balance Sheet'!Q8</f>
        <v>0.22952834287234614</v>
      </c>
    </row>
    <row r="10" spans="1:17" x14ac:dyDescent="0.3">
      <c r="A10" s="31" t="s">
        <v>113</v>
      </c>
      <c r="B10" s="31"/>
      <c r="C10" s="81">
        <f>'Income Statement'!C22/('Balance Sheet'!C8+'Balance Sheet'!C11+'Balance Sheet'!C16)</f>
        <v>0.23114754098360657</v>
      </c>
      <c r="D10" s="81">
        <f>'Income Statement'!D22/('Balance Sheet'!D8+'Balance Sheet'!D11+'Balance Sheet'!D16)</f>
        <v>0.4494252873563217</v>
      </c>
      <c r="E10" s="81">
        <f>'Income Statement'!E22/('Balance Sheet'!E8+'Balance Sheet'!E11+'Balance Sheet'!E16)</f>
        <v>0.38857545839210161</v>
      </c>
      <c r="F10" s="81">
        <f>'Income Statement'!F22/('Balance Sheet'!F8+'Balance Sheet'!F11+'Balance Sheet'!F16)</f>
        <v>0.29893617021276603</v>
      </c>
      <c r="G10" s="87">
        <f>'Income Statement'!G22/('Balance Sheet'!G8+'Balance Sheet'!G11+'Balance Sheet'!G16)</f>
        <v>0.38684087727484856</v>
      </c>
      <c r="H10" s="81">
        <f>'Income Statement'!H22/('Balance Sheet'!H8+'Balance Sheet'!H11+'Balance Sheet'!H16)</f>
        <v>0.26182493532263623</v>
      </c>
      <c r="I10" s="81">
        <f>'Income Statement'!I22/('Balance Sheet'!I8+'Balance Sheet'!I11+'Balance Sheet'!I16)</f>
        <v>0.30745612838284153</v>
      </c>
      <c r="J10" s="81">
        <f>'Income Statement'!J22/('Balance Sheet'!J8+'Balance Sheet'!J11+'Balance Sheet'!J16)</f>
        <v>0.37123005078865867</v>
      </c>
      <c r="K10" s="81">
        <f>'Income Statement'!K22/('Balance Sheet'!K8+'Balance Sheet'!K11+'Balance Sheet'!K16)</f>
        <v>0.38848020677334388</v>
      </c>
      <c r="L10" s="81">
        <f>'Income Statement'!L22/('Balance Sheet'!L8+'Balance Sheet'!L11+'Balance Sheet'!L16)</f>
        <v>0.38265018946752238</v>
      </c>
      <c r="M10" s="82">
        <f>'Income Statement'!M22/('Balance Sheet'!M8+'Balance Sheet'!M11+'Balance Sheet'!M16)</f>
        <v>0.37149085889722117</v>
      </c>
      <c r="N10" s="82">
        <f>'Income Statement'!N22/('Balance Sheet'!N8+'Balance Sheet'!N11+'Balance Sheet'!N16)</f>
        <v>0.35486696716813837</v>
      </c>
      <c r="O10" s="82">
        <f>'Income Statement'!O22/('Balance Sheet'!O8+'Balance Sheet'!O11+'Balance Sheet'!O16)</f>
        <v>0.3365096314336844</v>
      </c>
      <c r="P10" s="82">
        <f>'Income Statement'!P22/('Balance Sheet'!P8+'Balance Sheet'!P11+'Balance Sheet'!P16)</f>
        <v>0.31482195864577628</v>
      </c>
      <c r="Q10" s="82">
        <f>'Income Statement'!Q22/('Balance Sheet'!Q8+'Balance Sheet'!Q11+'Balance Sheet'!Q16)</f>
        <v>0.29616560370625311</v>
      </c>
    </row>
    <row r="11" spans="1:17" x14ac:dyDescent="0.3">
      <c r="A11" s="10"/>
      <c r="B11" s="10"/>
      <c r="C11" s="10"/>
      <c r="D11" s="10"/>
      <c r="E11" s="10"/>
      <c r="F11" s="10"/>
      <c r="G11" s="43"/>
      <c r="H11" s="10"/>
      <c r="I11" s="10"/>
      <c r="J11" s="10"/>
      <c r="K11" s="10"/>
      <c r="L11" s="10"/>
      <c r="M11" s="10"/>
      <c r="N11" s="10"/>
      <c r="O11" s="10"/>
      <c r="P11" s="10"/>
      <c r="Q11" s="10"/>
    </row>
    <row r="12" spans="1:17" x14ac:dyDescent="0.3">
      <c r="A12" s="79" t="s">
        <v>114</v>
      </c>
      <c r="B12" s="80"/>
      <c r="C12" s="80"/>
      <c r="D12" s="80"/>
      <c r="E12" s="80"/>
      <c r="F12" s="80"/>
      <c r="G12" s="85"/>
      <c r="H12" s="80"/>
      <c r="I12" s="80"/>
      <c r="J12" s="80"/>
      <c r="K12" s="80"/>
      <c r="L12" s="80"/>
      <c r="M12" s="80"/>
      <c r="N12" s="80"/>
      <c r="O12" s="80"/>
      <c r="P12" s="80"/>
      <c r="Q12" s="80"/>
    </row>
    <row r="13" spans="1:17" x14ac:dyDescent="0.3">
      <c r="A13" s="10" t="s">
        <v>62</v>
      </c>
      <c r="B13" s="10"/>
      <c r="C13" s="19">
        <f>'Income Statement'!C29</f>
        <v>10.729166666666668</v>
      </c>
      <c r="D13" s="19">
        <f>'Income Statement'!D29</f>
        <v>31.770833333333318</v>
      </c>
      <c r="E13" s="19">
        <f>'Income Statement'!E29</f>
        <v>48.229166666666679</v>
      </c>
      <c r="F13" s="19">
        <f>'Income Statement'!F29</f>
        <v>47.604166666666679</v>
      </c>
      <c r="G13" s="47">
        <f>'Income Statement'!G29</f>
        <v>71.88118811881192</v>
      </c>
      <c r="H13" s="19">
        <f>'Income Statement'!H29</f>
        <v>61.367849576333917</v>
      </c>
      <c r="I13" s="19">
        <f>'Income Statement'!I29</f>
        <v>89.502200499893007</v>
      </c>
      <c r="J13" s="19">
        <f>'Income Statement'!J29</f>
        <v>141.94935660193656</v>
      </c>
      <c r="K13" s="19">
        <f>'Income Statement'!K29</f>
        <v>198.46503377548274</v>
      </c>
      <c r="L13" s="19">
        <f>'Income Statement'!L29</f>
        <v>260.22498083504121</v>
      </c>
      <c r="M13" s="20">
        <f>'Income Statement'!M29</f>
        <v>333.75876475109283</v>
      </c>
      <c r="N13" s="20">
        <f>'Income Statement'!N29</f>
        <v>416.09278527309681</v>
      </c>
      <c r="O13" s="20">
        <f>'Income Statement'!O29</f>
        <v>506.94580178029764</v>
      </c>
      <c r="P13" s="20">
        <f>'Income Statement'!P29</f>
        <v>598.36879114923329</v>
      </c>
      <c r="Q13" s="20">
        <f>'Income Statement'!Q29</f>
        <v>699.35247907320843</v>
      </c>
    </row>
    <row r="14" spans="1:17" x14ac:dyDescent="0.3">
      <c r="A14" s="10" t="s">
        <v>115</v>
      </c>
      <c r="B14" s="10"/>
      <c r="C14" s="19">
        <f>'Balance Sheet'!C8/'Income Statement'!C30</f>
        <v>50</v>
      </c>
      <c r="D14" s="19">
        <f>'Balance Sheet'!D8/'Income Statement'!D30</f>
        <v>81.770833333333343</v>
      </c>
      <c r="E14" s="19">
        <f>'Balance Sheet'!E8/'Income Statement'!E30</f>
        <v>130</v>
      </c>
      <c r="F14" s="19">
        <f>'Balance Sheet'!F8/'Income Statement'!F30</f>
        <v>173.95833333333334</v>
      </c>
      <c r="G14" s="47">
        <f>'Balance Sheet'!G8/'Income Statement'!G30</f>
        <v>195.34653465346534</v>
      </c>
      <c r="H14" s="19">
        <f>'Balance Sheet'!H8/'Income Statement'!H30</f>
        <v>288.95003731707953</v>
      </c>
      <c r="I14" s="19">
        <f>'Balance Sheet'!I8/'Income Statement'!I30</f>
        <v>365.02690774198851</v>
      </c>
      <c r="J14" s="19">
        <f>'Balance Sheet'!J8/'Income Statement'!J30</f>
        <v>485.6838608536346</v>
      </c>
      <c r="K14" s="19">
        <f>'Balance Sheet'!K8/'Income Statement'!K30</f>
        <v>654.37913956279488</v>
      </c>
      <c r="L14" s="19">
        <f>'Balance Sheet'!L8/'Income Statement'!L30</f>
        <v>875.57037327257979</v>
      </c>
      <c r="M14" s="20">
        <f>'Balance Sheet'!M8/'Income Statement'!M30</f>
        <v>1159.2653233110088</v>
      </c>
      <c r="N14" s="20">
        <f>'Balance Sheet'!N8/'Income Statement'!N30</f>
        <v>1512.9441907931409</v>
      </c>
      <c r="O14" s="20">
        <f>'Balance Sheet'!O8/'Income Statement'!O30</f>
        <v>1943.8481223063939</v>
      </c>
      <c r="P14" s="20">
        <f>'Balance Sheet'!P8/'Income Statement'!P30</f>
        <v>2452.4615947832422</v>
      </c>
      <c r="Q14" s="20">
        <f>'Balance Sheet'!Q8/'Income Statement'!Q30</f>
        <v>3046.9112019954696</v>
      </c>
    </row>
    <row r="15" spans="1:17" x14ac:dyDescent="0.3">
      <c r="A15" s="31" t="s">
        <v>116</v>
      </c>
      <c r="B15" s="31"/>
      <c r="C15" s="81"/>
      <c r="D15" s="81">
        <f t="shared" ref="D15:L15" si="0">(D13-C13)/C13</f>
        <v>1.9611650485436876</v>
      </c>
      <c r="E15" s="81">
        <f t="shared" si="0"/>
        <v>0.51803278688524701</v>
      </c>
      <c r="F15" s="81">
        <f t="shared" si="0"/>
        <v>-1.2958963282937361E-2</v>
      </c>
      <c r="G15" s="87">
        <f t="shared" si="0"/>
        <v>0.50997681825075336</v>
      </c>
      <c r="H15" s="81">
        <f t="shared" si="0"/>
        <v>-0.14625994391050656</v>
      </c>
      <c r="I15" s="81">
        <f t="shared" si="0"/>
        <v>0.45845424139497476</v>
      </c>
      <c r="J15" s="81">
        <f t="shared" si="0"/>
        <v>0.58598733672594172</v>
      </c>
      <c r="K15" s="81">
        <f t="shared" si="0"/>
        <v>0.39813972057676211</v>
      </c>
      <c r="L15" s="81">
        <f t="shared" si="0"/>
        <v>0.31118805103686709</v>
      </c>
      <c r="M15" s="81">
        <f>(M13-L13)/L13</f>
        <v>0.28257772824149152</v>
      </c>
      <c r="N15" s="81">
        <f>(N13-M13)/M13</f>
        <v>0.24668721608975933</v>
      </c>
      <c r="O15" s="81">
        <f>(O13-N13)/N13</f>
        <v>0.21834797363182037</v>
      </c>
      <c r="P15" s="81">
        <f>(P13-O13)/O13</f>
        <v>0.18034075644353978</v>
      </c>
      <c r="Q15" s="81">
        <f>(Q13-P13)/P13</f>
        <v>0.16876496471352528</v>
      </c>
    </row>
    <row r="16" spans="1:17" x14ac:dyDescent="0.3">
      <c r="A16" s="10"/>
      <c r="B16" s="10"/>
      <c r="C16" s="10"/>
      <c r="D16" s="10"/>
      <c r="E16" s="10"/>
      <c r="F16" s="10"/>
      <c r="G16" s="43"/>
      <c r="H16" s="10"/>
      <c r="I16" s="10"/>
      <c r="J16" s="10"/>
      <c r="K16" s="10"/>
      <c r="L16" s="10"/>
      <c r="M16" s="10"/>
      <c r="N16" s="10"/>
      <c r="O16" s="10"/>
      <c r="P16" s="10"/>
      <c r="Q16" s="10"/>
    </row>
    <row r="17" spans="1:17" x14ac:dyDescent="0.3">
      <c r="A17" s="79" t="s">
        <v>117</v>
      </c>
      <c r="B17" s="80"/>
      <c r="C17" s="80"/>
      <c r="D17" s="80"/>
      <c r="E17" s="80"/>
      <c r="F17" s="80"/>
      <c r="G17" s="85"/>
      <c r="H17" s="80"/>
      <c r="I17" s="80"/>
      <c r="J17" s="80"/>
      <c r="K17" s="80"/>
      <c r="L17" s="80"/>
      <c r="M17" s="80"/>
      <c r="N17" s="80"/>
      <c r="O17" s="80"/>
      <c r="P17" s="80"/>
      <c r="Q17" s="80"/>
    </row>
    <row r="18" spans="1:17" x14ac:dyDescent="0.3">
      <c r="A18" s="10" t="s">
        <v>32</v>
      </c>
      <c r="B18" s="10"/>
      <c r="C18" s="72">
        <v>150</v>
      </c>
      <c r="D18" s="72">
        <v>132</v>
      </c>
      <c r="E18" s="72">
        <v>135</v>
      </c>
      <c r="F18" s="72">
        <v>125</v>
      </c>
      <c r="G18" s="88">
        <v>122</v>
      </c>
      <c r="H18" s="72">
        <v>120</v>
      </c>
      <c r="I18" s="72">
        <v>115</v>
      </c>
      <c r="J18" s="72">
        <v>110</v>
      </c>
      <c r="K18" s="72">
        <v>105</v>
      </c>
      <c r="L18" s="72">
        <v>100</v>
      </c>
      <c r="M18" s="72">
        <v>92</v>
      </c>
      <c r="N18" s="72">
        <v>88</v>
      </c>
      <c r="O18" s="72">
        <v>85</v>
      </c>
      <c r="P18" s="72">
        <v>82</v>
      </c>
      <c r="Q18" s="72">
        <v>80</v>
      </c>
    </row>
    <row r="19" spans="1:17" x14ac:dyDescent="0.3">
      <c r="A19" s="10" t="s">
        <v>33</v>
      </c>
      <c r="B19" s="10"/>
      <c r="C19" s="72">
        <v>90</v>
      </c>
      <c r="D19" s="72">
        <v>85</v>
      </c>
      <c r="E19" s="72">
        <v>95</v>
      </c>
      <c r="F19" s="72">
        <v>100</v>
      </c>
      <c r="G19" s="88">
        <v>105</v>
      </c>
      <c r="H19" s="72">
        <v>100</v>
      </c>
      <c r="I19" s="72">
        <v>95</v>
      </c>
      <c r="J19" s="72">
        <v>90</v>
      </c>
      <c r="K19" s="72">
        <v>85</v>
      </c>
      <c r="L19" s="72">
        <v>80</v>
      </c>
      <c r="M19" s="72">
        <v>72</v>
      </c>
      <c r="N19" s="72">
        <v>70</v>
      </c>
      <c r="O19" s="72">
        <v>68</v>
      </c>
      <c r="P19" s="72">
        <v>66</v>
      </c>
      <c r="Q19" s="72">
        <v>65</v>
      </c>
    </row>
    <row r="20" spans="1:17" x14ac:dyDescent="0.3">
      <c r="A20" s="10" t="s">
        <v>34</v>
      </c>
      <c r="B20" s="10"/>
      <c r="C20" s="72">
        <v>80</v>
      </c>
      <c r="D20" s="72">
        <v>70</v>
      </c>
      <c r="E20" s="72">
        <v>75</v>
      </c>
      <c r="F20" s="72">
        <v>72</v>
      </c>
      <c r="G20" s="88">
        <v>70</v>
      </c>
      <c r="H20" s="72">
        <v>70</v>
      </c>
      <c r="I20" s="72">
        <v>68</v>
      </c>
      <c r="J20" s="72">
        <v>65</v>
      </c>
      <c r="K20" s="72">
        <v>62</v>
      </c>
      <c r="L20" s="72">
        <v>60</v>
      </c>
      <c r="M20" s="72">
        <v>58</v>
      </c>
      <c r="N20" s="72">
        <v>57</v>
      </c>
      <c r="O20" s="72">
        <v>56</v>
      </c>
      <c r="P20" s="72">
        <v>55</v>
      </c>
      <c r="Q20" s="72">
        <v>55</v>
      </c>
    </row>
    <row r="21" spans="1:17" x14ac:dyDescent="0.3">
      <c r="A21" s="10" t="s">
        <v>118</v>
      </c>
      <c r="B21" s="10"/>
      <c r="C21" s="20">
        <f>('Balance Sheet'!C11+'Balance Sheet'!C16)/'Balance Sheet'!C8</f>
        <v>0.27083333333333331</v>
      </c>
      <c r="D21" s="20">
        <f>('Balance Sheet'!D11+'Balance Sheet'!D16)/'Balance Sheet'!D8</f>
        <v>0.10828025477707007</v>
      </c>
      <c r="E21" s="20">
        <f>('Balance Sheet'!E11+'Balance Sheet'!E16)/'Balance Sheet'!E8</f>
        <v>0.13621794871794873</v>
      </c>
      <c r="F21" s="20">
        <f>('Balance Sheet'!F11+'Balance Sheet'!F16)/'Balance Sheet'!F8</f>
        <v>0.12574850299401197</v>
      </c>
      <c r="G21" s="48">
        <f>('Balance Sheet'!G11+'Balance Sheet'!G16)/'Balance Sheet'!G8</f>
        <v>8.6163203243791189E-2</v>
      </c>
      <c r="H21" s="20">
        <f>('Balance Sheet'!H11+'Balance Sheet'!H16)/'Balance Sheet'!H8</f>
        <v>4.6659555944746897E-2</v>
      </c>
      <c r="I21" s="20">
        <f>('Balance Sheet'!I11+'Balance Sheet'!I16)/'Balance Sheet'!I8</f>
        <v>2.9020382098709947E-2</v>
      </c>
      <c r="J21" s="20">
        <f>('Balance Sheet'!J11+'Balance Sheet'!J16)/'Balance Sheet'!J8</f>
        <v>1.5862500007705317E-2</v>
      </c>
      <c r="K21" s="20">
        <f>('Balance Sheet'!K11+'Balance Sheet'!K16)/'Balance Sheet'!K8</f>
        <v>7.3582726938702225E-3</v>
      </c>
      <c r="L21" s="20">
        <f>('Balance Sheet'!L11+'Balance Sheet'!L16)/'Balance Sheet'!L8</f>
        <v>2.1997547203823366E-3</v>
      </c>
      <c r="M21" s="10">
        <f>('Balance Sheet'!M11+'Balance Sheet'!M16)/'Balance Sheet'!M8</f>
        <v>0</v>
      </c>
      <c r="N21" s="10">
        <f>('Balance Sheet'!N11+'Balance Sheet'!N16)/'Balance Sheet'!N8</f>
        <v>0</v>
      </c>
      <c r="O21" s="10">
        <f>('Balance Sheet'!O11+'Balance Sheet'!O16)/'Balance Sheet'!O8</f>
        <v>0</v>
      </c>
      <c r="P21" s="10">
        <f>('Balance Sheet'!P11+'Balance Sheet'!P16)/'Balance Sheet'!P8</f>
        <v>0</v>
      </c>
      <c r="Q21" s="10">
        <f>('Balance Sheet'!Q11+'Balance Sheet'!Q16)/'Balance Sheet'!Q8</f>
        <v>0</v>
      </c>
    </row>
    <row r="22" spans="1:17" x14ac:dyDescent="0.3">
      <c r="A22" s="10" t="s">
        <v>119</v>
      </c>
      <c r="B22" s="10"/>
      <c r="C22" s="50">
        <f>('Balance Sheet'!C29+'Balance Sheet'!C30+'Balance Sheet'!C31+'Balance Sheet'!C32)/'Balance Sheet'!C18</f>
        <v>1.4047619047619047</v>
      </c>
      <c r="D22" s="50">
        <f>('Balance Sheet'!D29+'Balance Sheet'!D30+'Balance Sheet'!D31+'Balance Sheet'!D32)/'Balance Sheet'!D18</f>
        <v>1.5630630630630631</v>
      </c>
      <c r="E22" s="50">
        <f>('Balance Sheet'!E29+'Balance Sheet'!E30+'Balance Sheet'!E31+'Balance Sheet'!E32)/'Balance Sheet'!E18</f>
        <v>2.0737951807228914</v>
      </c>
      <c r="F22" s="50">
        <f>('Balance Sheet'!F29+'Balance Sheet'!F30+'Balance Sheet'!F31+'Balance Sheet'!F32)/'Balance Sheet'!F18</f>
        <v>2.1134676564156947</v>
      </c>
      <c r="G22" s="89">
        <f>('Balance Sheet'!G29+'Balance Sheet'!G30+'Balance Sheet'!G31+'Balance Sheet'!G32)/'Balance Sheet'!G18</f>
        <v>3.2480392156862745</v>
      </c>
      <c r="H22" s="50">
        <f>('Balance Sheet'!H29+'Balance Sheet'!H30+'Balance Sheet'!H31+'Balance Sheet'!H32)/'Balance Sheet'!H18</f>
        <v>3.5904039459137262</v>
      </c>
      <c r="I22" s="50">
        <f>('Balance Sheet'!I29+'Balance Sheet'!I30+'Balance Sheet'!I31+'Balance Sheet'!I32)/'Balance Sheet'!I18</f>
        <v>4.0863171010210468</v>
      </c>
      <c r="J22" s="50">
        <f>('Balance Sheet'!J29+'Balance Sheet'!J30+'Balance Sheet'!J31+'Balance Sheet'!J32)/'Balance Sheet'!J18</f>
        <v>4.4165299900395327</v>
      </c>
      <c r="K22" s="50">
        <f>('Balance Sheet'!K29+'Balance Sheet'!K30+'Balance Sheet'!K31+'Balance Sheet'!K32)/'Balance Sheet'!K18</f>
        <v>5.0326959692034015</v>
      </c>
      <c r="L22" s="50">
        <f>('Balance Sheet'!L29+'Balance Sheet'!L30+'Balance Sheet'!L31+'Balance Sheet'!L32)/'Balance Sheet'!L18</f>
        <v>5.9069403373258744</v>
      </c>
      <c r="M22" s="50">
        <f>('Balance Sheet'!M29+'Balance Sheet'!M30+'Balance Sheet'!M31+'Balance Sheet'!M32)/'Balance Sheet'!M18</f>
        <v>7.0239278805675509</v>
      </c>
      <c r="N22" s="50">
        <f>('Balance Sheet'!N29+'Balance Sheet'!N30+'Balance Sheet'!N31+'Balance Sheet'!N32)/'Balance Sheet'!N18</f>
        <v>8.2412461823808769</v>
      </c>
      <c r="O22" s="50">
        <f>('Balance Sheet'!O29+'Balance Sheet'!O30+'Balance Sheet'!O31+'Balance Sheet'!O32)/'Balance Sheet'!O18</f>
        <v>9.6557311257381357</v>
      </c>
      <c r="P22" s="50">
        <f>('Balance Sheet'!P29+'Balance Sheet'!P30+'Balance Sheet'!P31+'Balance Sheet'!P32)/'Balance Sheet'!P18</f>
        <v>11.154800540754671</v>
      </c>
      <c r="Q22" s="50">
        <f>('Balance Sheet'!Q29+'Balance Sheet'!Q30+'Balance Sheet'!Q31+'Balance Sheet'!Q32)/'Balance Sheet'!Q18</f>
        <v>12.694640833495543</v>
      </c>
    </row>
    <row r="23" spans="1:17" x14ac:dyDescent="0.3">
      <c r="A23" s="31" t="s">
        <v>120</v>
      </c>
      <c r="B23" s="31"/>
      <c r="C23" s="83">
        <f>IF('Income Statement'!C21=0,0,'Income Statement'!C17/'Income Statement'!C21)</f>
        <v>10.666666666666668</v>
      </c>
      <c r="D23" s="83">
        <f>IF('Income Statement'!D21=0,0,'Income Statement'!D17/'Income Statement'!D21)</f>
        <v>23.499999999999989</v>
      </c>
      <c r="E23" s="83">
        <f>IF('Income Statement'!E21=0,0,'Income Statement'!E17/'Income Statement'!E21)</f>
        <v>26.652173913043484</v>
      </c>
      <c r="F23" s="83">
        <f>IF('Income Statement'!F21=0,0,'Income Statement'!F17/'Income Statement'!F21)</f>
        <v>19.8</v>
      </c>
      <c r="G23" s="90">
        <f>IF('Income Statement'!G21=0,0,'Income Statement'!G17/'Income Statement'!G21)</f>
        <v>9.2282608695652222</v>
      </c>
      <c r="H23" s="83">
        <f>IF('Income Statement'!H21=0,0,'Income Statement'!H17/'Income Statement'!H21)</f>
        <v>14.66666666666667</v>
      </c>
      <c r="I23" s="83">
        <f>IF('Income Statement'!I21=0,0,'Income Statement'!I17/'Income Statement'!I21)</f>
        <v>20.416666666666668</v>
      </c>
      <c r="J23" s="83">
        <f>IF('Income Statement'!J21=0,0,'Income Statement'!J17/'Income Statement'!J21)</f>
        <v>28.000000000000007</v>
      </c>
      <c r="K23" s="83">
        <f>IF('Income Statement'!K21=0,0,'Income Statement'!K17/'Income Statement'!K21)</f>
        <v>38.125000000000007</v>
      </c>
      <c r="L23" s="83">
        <f>IF('Income Statement'!L21=0,0,'Income Statement'!L17/'Income Statement'!L21)</f>
        <v>46.428571428571431</v>
      </c>
      <c r="M23" s="31">
        <f>IF('Income Statement'!M21=0,0,'Income Statement'!M17/'Income Statement'!M21)</f>
        <v>57.500000000000007</v>
      </c>
      <c r="N23" s="31">
        <f>IF('Income Statement'!N21=0,0,'Income Statement'!N17/'Income Statement'!N21)</f>
        <v>72.599999999999994</v>
      </c>
      <c r="O23" s="31">
        <f>IF('Income Statement'!O21=0,0,'Income Statement'!O17/'Income Statement'!O21)</f>
        <v>76</v>
      </c>
      <c r="P23" s="31">
        <f>IF('Income Statement'!P21=0,0,'Income Statement'!P17/'Income Statement'!P21)</f>
        <v>97.249999999999986</v>
      </c>
      <c r="Q23" s="31">
        <f>IF('Income Statement'!Q21=0,0,'Income Statement'!Q17/'Income Statement'!Q21)</f>
        <v>100</v>
      </c>
    </row>
    <row r="24" spans="1:17" x14ac:dyDescent="0.3">
      <c r="A24" s="10"/>
      <c r="B24" s="10"/>
      <c r="C24" s="10"/>
      <c r="D24" s="10"/>
      <c r="E24" s="10"/>
      <c r="F24" s="10"/>
      <c r="G24" s="43"/>
      <c r="H24" s="10"/>
      <c r="I24" s="10"/>
      <c r="J24" s="10"/>
      <c r="K24" s="10"/>
      <c r="L24" s="10"/>
      <c r="M24" s="10"/>
      <c r="N24" s="10"/>
      <c r="O24" s="10"/>
      <c r="P24" s="10"/>
      <c r="Q24" s="10"/>
    </row>
    <row r="25" spans="1:17" x14ac:dyDescent="0.3">
      <c r="A25" s="79" t="s">
        <v>121</v>
      </c>
      <c r="B25" s="80"/>
      <c r="C25" s="80"/>
      <c r="D25" s="80"/>
      <c r="E25" s="80"/>
      <c r="F25" s="80"/>
      <c r="G25" s="85"/>
      <c r="H25" s="80"/>
      <c r="I25" s="80"/>
      <c r="J25" s="80"/>
      <c r="K25" s="80"/>
      <c r="L25" s="80"/>
      <c r="M25" s="80"/>
      <c r="N25" s="80"/>
      <c r="O25" s="80"/>
      <c r="P25" s="80"/>
      <c r="Q25" s="80"/>
    </row>
    <row r="26" spans="1:17" x14ac:dyDescent="0.3">
      <c r="A26" s="10" t="s">
        <v>15</v>
      </c>
      <c r="B26" s="10"/>
      <c r="C26" s="70">
        <f>'Income Statement'!C6</f>
        <v>0.28000000000000003</v>
      </c>
      <c r="D26" s="70">
        <f>'Income Statement'!D6</f>
        <v>0.57999999999999996</v>
      </c>
      <c r="E26" s="70">
        <f>'Income Statement'!E6</f>
        <v>0.23400000000000001</v>
      </c>
      <c r="F26" s="70">
        <f>'Income Statement'!F6</f>
        <v>0.308</v>
      </c>
      <c r="G26" s="86">
        <f>'Income Statement'!G6</f>
        <v>0.24099999999999999</v>
      </c>
      <c r="H26" s="70">
        <f>'Income Statement'!H6</f>
        <v>8.459869848267354E-2</v>
      </c>
      <c r="I26" s="70">
        <f>'Income Statement'!I6</f>
        <v>0.3504999999860014</v>
      </c>
      <c r="J26" s="70">
        <f>'Income Statement'!J6</f>
        <v>0.31583857832061102</v>
      </c>
      <c r="K26" s="70">
        <f>'Income Statement'!K6</f>
        <v>0.27583126997455604</v>
      </c>
      <c r="L26" s="70">
        <f>'Income Statement'!L6</f>
        <v>0.22562940332805764</v>
      </c>
      <c r="M26" s="71">
        <f>'Income Statement'!M6</f>
        <v>0.20245610697330393</v>
      </c>
      <c r="N26" s="71">
        <f>'Income Statement'!N6</f>
        <v>0.18011833638008068</v>
      </c>
      <c r="O26" s="71">
        <f>'Income Statement'!O6</f>
        <v>0.16320674249187328</v>
      </c>
      <c r="P26" s="71">
        <f>'Income Statement'!P6</f>
        <v>0.14938296710967758</v>
      </c>
      <c r="Q26" s="71">
        <f>'Income Statement'!Q6</f>
        <v>0.13594263015462504</v>
      </c>
    </row>
    <row r="27" spans="1:17" x14ac:dyDescent="0.3">
      <c r="A27" s="10" t="s">
        <v>122</v>
      </c>
      <c r="B27" s="10"/>
      <c r="C27" s="70"/>
      <c r="D27" s="70">
        <f>('Income Statement'!D17-'Income Statement'!C17)/'Income Statement'!C17</f>
        <v>1.2031249999999989</v>
      </c>
      <c r="E27" s="70">
        <f>('Income Statement'!E17-'Income Statement'!D17)/'Income Statement'!D17</f>
        <v>0.44917257683215217</v>
      </c>
      <c r="F27" s="70">
        <f>('Income Statement'!F17-'Income Statement'!E17)/'Income Statement'!E17</f>
        <v>-3.0995106035889158E-2</v>
      </c>
      <c r="G27" s="86">
        <f>('Income Statement'!G17-'Income Statement'!F17)/'Income Statement'!F17</f>
        <v>0.42929292929292973</v>
      </c>
      <c r="H27" s="70">
        <f>('Income Statement'!H17-'Income Statement'!G17)/'Income Statement'!G17</f>
        <v>3.6513545348529741E-2</v>
      </c>
      <c r="I27" s="70">
        <f>('Income Statement'!I17-'Income Statement'!H17)/'Income Statement'!H17</f>
        <v>0.5039659090753198</v>
      </c>
      <c r="J27" s="70">
        <f>('Income Statement'!J17-'Income Statement'!I17)/'Income Statement'!I17</f>
        <v>0.50381551808069869</v>
      </c>
      <c r="K27" s="70">
        <f>('Income Statement'!K17-'Income Statement'!J17)/'Income Statement'!J17</f>
        <v>0.38974477622228398</v>
      </c>
      <c r="L27" s="70">
        <f>('Income Statement'!L17-'Income Statement'!K17)/'Income Statement'!K17</f>
        <v>0.30599854452989728</v>
      </c>
      <c r="M27" s="71">
        <f>('Income Statement'!M17-'Income Statement'!L17)/'Income Statement'!L17</f>
        <v>0.27645340586396905</v>
      </c>
      <c r="N27" s="71">
        <f>('Income Statement'!N17-'Income Statement'!M17)/'Income Statement'!M17</f>
        <v>0.24168972784338894</v>
      </c>
      <c r="O27" s="71">
        <f>('Income Statement'!O17-'Income Statement'!N17)/'Income Statement'!N17</f>
        <v>0.21768198938543221</v>
      </c>
      <c r="P27" s="71">
        <f>('Income Statement'!P17-'Income Statement'!O17)/'Income Statement'!O17</f>
        <v>0.17660519527806437</v>
      </c>
      <c r="Q27" s="71">
        <f>('Income Statement'!Q17-'Income Statement'!P17)/'Income Statement'!P17</f>
        <v>0.16806440118727534</v>
      </c>
    </row>
    <row r="28" spans="1:17" x14ac:dyDescent="0.3">
      <c r="A28" s="31" t="s">
        <v>123</v>
      </c>
      <c r="B28" s="31"/>
      <c r="C28" s="81"/>
      <c r="D28" s="81">
        <f>('Income Statement'!D26-'Income Statement'!C26)/'Income Statement'!C26</f>
        <v>1.9611650485436878</v>
      </c>
      <c r="E28" s="81">
        <f>('Income Statement'!E26-'Income Statement'!D26)/'Income Statement'!D26</f>
        <v>0.51803278688524701</v>
      </c>
      <c r="F28" s="81">
        <f>('Income Statement'!F26-'Income Statement'!E26)/'Income Statement'!E26</f>
        <v>-1.2958963282937393E-2</v>
      </c>
      <c r="G28" s="87">
        <f>('Income Statement'!G26-'Income Statement'!F26)/'Income Statement'!F26</f>
        <v>0.58862144420131335</v>
      </c>
      <c r="H28" s="81">
        <f>('Income Statement'!H26-'Income Statement'!G26)/'Income Statement'!G26</f>
        <v>-0.12225378787789111</v>
      </c>
      <c r="I28" s="81">
        <f>('Income Statement'!I26-'Income Statement'!H26)/'Income Statement'!H26</f>
        <v>0.4584542413949747</v>
      </c>
      <c r="J28" s="81">
        <f>('Income Statement'!J26-'Income Statement'!I26)/'Income Statement'!I26</f>
        <v>0.58598733672594183</v>
      </c>
      <c r="K28" s="81">
        <f>('Income Statement'!K26-'Income Statement'!J26)/'Income Statement'!J26</f>
        <v>0.39813972057676206</v>
      </c>
      <c r="L28" s="81">
        <f>('Income Statement'!L26-'Income Statement'!K26)/'Income Statement'!K26</f>
        <v>0.31118805103686714</v>
      </c>
      <c r="M28" s="82">
        <f>('Income Statement'!M26-'Income Statement'!L26)/'Income Statement'!L26</f>
        <v>0.28257772824149158</v>
      </c>
      <c r="N28" s="82">
        <f>('Income Statement'!N26-'Income Statement'!M26)/'Income Statement'!M26</f>
        <v>0.24668721608975919</v>
      </c>
      <c r="O28" s="82">
        <f>('Income Statement'!O26-'Income Statement'!N26)/'Income Statement'!N26</f>
        <v>0.21834797363182049</v>
      </c>
      <c r="P28" s="82">
        <f>('Income Statement'!P26-'Income Statement'!O26)/'Income Statement'!O26</f>
        <v>0.18034075644353983</v>
      </c>
      <c r="Q28" s="82">
        <f>('Income Statement'!Q26-'Income Statement'!P26)/'Income Statement'!P26</f>
        <v>0.1687649647135252</v>
      </c>
    </row>
    <row r="29" spans="1:17" x14ac:dyDescent="0.3">
      <c r="A29" s="10"/>
      <c r="B29" s="10"/>
      <c r="C29" s="10"/>
      <c r="D29" s="10"/>
      <c r="E29" s="10"/>
      <c r="F29" s="10"/>
      <c r="G29" s="43"/>
      <c r="H29" s="10"/>
      <c r="I29" s="10"/>
      <c r="J29" s="10"/>
      <c r="K29" s="10"/>
      <c r="L29" s="10"/>
      <c r="M29" s="10"/>
      <c r="N29" s="10"/>
      <c r="O29" s="10"/>
      <c r="P29" s="10"/>
      <c r="Q29" s="10"/>
    </row>
    <row r="30" spans="1:17" x14ac:dyDescent="0.3">
      <c r="A30" s="79" t="s">
        <v>124</v>
      </c>
      <c r="B30" s="80"/>
      <c r="C30" s="80"/>
      <c r="D30" s="80"/>
      <c r="E30" s="80"/>
      <c r="F30" s="80"/>
      <c r="G30" s="85"/>
      <c r="H30" s="80"/>
      <c r="I30" s="80"/>
      <c r="J30" s="80"/>
      <c r="K30" s="80"/>
      <c r="L30" s="80"/>
      <c r="M30" s="80"/>
      <c r="N30" s="80"/>
      <c r="O30" s="80"/>
      <c r="P30" s="80"/>
      <c r="Q30" s="80"/>
    </row>
    <row r="31" spans="1:17" x14ac:dyDescent="0.3">
      <c r="A31" s="73" t="s">
        <v>125</v>
      </c>
      <c r="B31" s="10"/>
      <c r="C31" s="10"/>
      <c r="D31" s="10"/>
      <c r="E31" s="10"/>
      <c r="F31" s="10"/>
      <c r="G31" s="43"/>
      <c r="H31" s="74">
        <v>1101</v>
      </c>
      <c r="I31" s="10"/>
      <c r="J31" s="10"/>
      <c r="K31" s="10"/>
      <c r="L31" s="10"/>
      <c r="M31" s="10"/>
      <c r="N31" s="10"/>
      <c r="O31" s="10"/>
      <c r="P31" s="10"/>
      <c r="Q31" s="10"/>
    </row>
    <row r="32" spans="1:17" x14ac:dyDescent="0.3">
      <c r="A32" s="10" t="s">
        <v>126</v>
      </c>
      <c r="B32" s="10"/>
      <c r="C32" s="10"/>
      <c r="D32" s="10"/>
      <c r="E32" s="10"/>
      <c r="F32" s="10"/>
      <c r="G32" s="43"/>
      <c r="H32" s="11">
        <f>H31*Assumptions!G38</f>
        <v>1143.2783999999999</v>
      </c>
      <c r="I32" s="10"/>
      <c r="J32" s="10"/>
      <c r="K32" s="10"/>
      <c r="L32" s="10"/>
      <c r="M32" s="10"/>
      <c r="N32" s="10"/>
      <c r="O32" s="10"/>
      <c r="P32" s="10"/>
      <c r="Q32" s="10"/>
    </row>
    <row r="33" spans="1:17" x14ac:dyDescent="0.3">
      <c r="A33" s="10" t="s">
        <v>127</v>
      </c>
      <c r="B33" s="10"/>
      <c r="C33" s="50">
        <f t="shared" ref="C33:L33" si="1">IF(C13=0,0,$H$31/C13)</f>
        <v>102.61747572815533</v>
      </c>
      <c r="D33" s="50">
        <f t="shared" si="1"/>
        <v>34.654426229508211</v>
      </c>
      <c r="E33" s="50">
        <f t="shared" si="1"/>
        <v>22.828509719222456</v>
      </c>
      <c r="F33" s="50">
        <f t="shared" si="1"/>
        <v>23.128227571115968</v>
      </c>
      <c r="G33" s="89">
        <f t="shared" si="1"/>
        <v>15.316942148760322</v>
      </c>
      <c r="H33" s="50">
        <f>IF(H13=0,0,$H$31/H13)</f>
        <v>17.940990398082857</v>
      </c>
      <c r="I33" s="50">
        <f t="shared" si="1"/>
        <v>12.301373528814146</v>
      </c>
      <c r="J33" s="50">
        <f t="shared" si="1"/>
        <v>7.7562873573812272</v>
      </c>
      <c r="K33" s="50">
        <f t="shared" si="1"/>
        <v>5.547576714422787</v>
      </c>
      <c r="L33" s="50">
        <f t="shared" si="1"/>
        <v>4.2309542937306741</v>
      </c>
      <c r="M33" s="50">
        <f>IF(M13=0,0,$H$31/M13)</f>
        <v>3.29878977356922</v>
      </c>
      <c r="N33" s="50">
        <f>IF(N13=0,0,$H$31/N13)</f>
        <v>2.646044437606323</v>
      </c>
      <c r="O33" s="50">
        <f>IF(O13=0,0,$H$31/O13)</f>
        <v>2.1718298013978941</v>
      </c>
      <c r="P33" s="50">
        <f>IF(P13=0,0,$H$31/P13)</f>
        <v>1.8400023802802417</v>
      </c>
      <c r="Q33" s="50">
        <f>IF(Q13=0,0,$H$31/Q13)</f>
        <v>1.5743134298445047</v>
      </c>
    </row>
    <row r="34" spans="1:17" x14ac:dyDescent="0.3">
      <c r="A34" s="10" t="s">
        <v>128</v>
      </c>
      <c r="B34" s="10"/>
      <c r="C34" s="50">
        <f>($H$32+'Balance Sheet'!C11+'Balance Sheet'!C16-'Balance Sheet'!C31)/'Income Statement'!C17</f>
        <v>60.06658333333332</v>
      </c>
      <c r="D34" s="50">
        <f>($H$32+'Balance Sheet'!D11+'Balance Sheet'!D16-'Balance Sheet'!D31)/'Income Statement'!D17</f>
        <v>27.146061465721051</v>
      </c>
      <c r="E34" s="50">
        <f>($H$32+'Balance Sheet'!E11+'Balance Sheet'!E16-'Balance Sheet'!E31)/'Income Statement'!E17</f>
        <v>18.841409461663943</v>
      </c>
      <c r="F34" s="50">
        <f>($H$32+'Balance Sheet'!F11+'Balance Sheet'!F16-'Balance Sheet'!F31)/'Income Statement'!F17</f>
        <v>19.34812121212121</v>
      </c>
      <c r="G34" s="89">
        <f>($H$32+'Balance Sheet'!G11+'Balance Sheet'!G16-'Balance Sheet'!G31)/'Income Statement'!G17</f>
        <v>12.252984687868075</v>
      </c>
      <c r="H34" s="50">
        <f>($H$32+'Balance Sheet'!H11+'Balance Sheet'!H16-'Balance Sheet'!H31)/'Income Statement'!H17</f>
        <v>11.570736415190003</v>
      </c>
      <c r="I34" s="50">
        <f>($H$32+'Balance Sheet'!I11+'Balance Sheet'!I16-'Balance Sheet'!I31)/'Income Statement'!I17</f>
        <v>7.3097330467782609</v>
      </c>
      <c r="J34" s="50">
        <f>($H$32+'Balance Sheet'!J11+'Balance Sheet'!J16-'Balance Sheet'!J31)/'Income Statement'!J17</f>
        <v>4.6531851994236133</v>
      </c>
      <c r="K34" s="50">
        <f>($H$32+'Balance Sheet'!K11+'Balance Sheet'!K16-'Balance Sheet'!K31)/'Income Statement'!K17</f>
        <v>3.0426368668270176</v>
      </c>
      <c r="L34" s="50">
        <f>($H$32+'Balance Sheet'!L11+'Balance Sheet'!L16-'Balance Sheet'!L31)/'Income Statement'!L17</f>
        <v>1.9292105420582284</v>
      </c>
      <c r="M34" s="20">
        <f>($H$32+'Balance Sheet'!M11+'Balance Sheet'!M16-'Balance Sheet'!M31)/'Income Statement'!M17</f>
        <v>1.0840143413686569</v>
      </c>
      <c r="N34" s="20">
        <f>($H$32+'Balance Sheet'!N11+'Balance Sheet'!N16-'Balance Sheet'!N31)/'Income Statement'!N17</f>
        <v>0.39870539175562164</v>
      </c>
      <c r="O34" s="20">
        <f>($H$32+'Balance Sheet'!O11+'Balance Sheet'!O16-'Balance Sheet'!O31)/'Income Statement'!O17</f>
        <v>-0.16767668574526653</v>
      </c>
      <c r="P34" s="20">
        <f>($H$32+'Balance Sheet'!P11+'Balance Sheet'!P16-'Balance Sheet'!P31)/'Income Statement'!P17</f>
        <v>-0.65797804993031617</v>
      </c>
      <c r="Q34" s="20">
        <f>($H$32+'Balance Sheet'!Q11+'Balance Sheet'!Q16-'Balance Sheet'!Q31)/'Income Statement'!Q17</f>
        <v>-1.0925175748152103</v>
      </c>
    </row>
    <row r="35" spans="1:17" x14ac:dyDescent="0.3">
      <c r="A35" s="31" t="s">
        <v>129</v>
      </c>
      <c r="B35" s="31"/>
      <c r="C35" s="83">
        <f t="shared" ref="C35:L35" si="2">IF(C14=0,0,$H$31/C14)</f>
        <v>22.02</v>
      </c>
      <c r="D35" s="83">
        <f t="shared" si="2"/>
        <v>13.464458598726113</v>
      </c>
      <c r="E35" s="83">
        <f t="shared" si="2"/>
        <v>8.4692307692307693</v>
      </c>
      <c r="F35" s="83">
        <f t="shared" si="2"/>
        <v>6.3291017964071852</v>
      </c>
      <c r="G35" s="90">
        <f t="shared" si="2"/>
        <v>5.6361378611251904</v>
      </c>
      <c r="H35" s="83">
        <f t="shared" si="2"/>
        <v>3.8103473189443364</v>
      </c>
      <c r="I35" s="83">
        <f t="shared" si="2"/>
        <v>3.0162160012001591</v>
      </c>
      <c r="J35" s="83">
        <f t="shared" si="2"/>
        <v>2.2669067036011654</v>
      </c>
      <c r="K35" s="83">
        <f t="shared" si="2"/>
        <v>1.6825108464423275</v>
      </c>
      <c r="L35" s="83">
        <f t="shared" si="2"/>
        <v>1.2574660285555828</v>
      </c>
      <c r="M35" s="83">
        <f>IF(M14=0,0,$H$31/M14)</f>
        <v>0.94973944088606421</v>
      </c>
      <c r="N35" s="83">
        <f>IF(N14=0,0,$H$31/N14)</f>
        <v>0.72772016753824564</v>
      </c>
      <c r="O35" s="83">
        <f>IF(O14=0,0,$H$31/O14)</f>
        <v>0.5664022756539504</v>
      </c>
      <c r="P35" s="83">
        <f>IF(P14=0,0,$H$31/P14)</f>
        <v>0.44893669378635492</v>
      </c>
      <c r="Q35" s="83">
        <f>IF(Q14=0,0,$H$31/Q14)</f>
        <v>0.36134955271388874</v>
      </c>
    </row>
    <row r="36" spans="1:17" x14ac:dyDescent="0.3">
      <c r="A36" s="10"/>
      <c r="B36" s="10"/>
      <c r="C36" s="10"/>
      <c r="D36" s="10"/>
      <c r="E36" s="10"/>
      <c r="F36" s="10"/>
      <c r="G36" s="43"/>
      <c r="H36" s="10"/>
      <c r="I36" s="10"/>
      <c r="J36" s="10"/>
      <c r="K36" s="10"/>
      <c r="L36" s="10"/>
      <c r="M36" s="10"/>
      <c r="N36" s="10"/>
      <c r="O36" s="10"/>
      <c r="P36" s="10"/>
      <c r="Q36" s="10"/>
    </row>
    <row r="37" spans="1:17" x14ac:dyDescent="0.3">
      <c r="A37" s="79" t="s">
        <v>130</v>
      </c>
      <c r="B37" s="80"/>
      <c r="C37" s="80"/>
      <c r="D37" s="80"/>
      <c r="E37" s="80"/>
      <c r="F37" s="80"/>
      <c r="G37" s="85"/>
      <c r="H37" s="80"/>
      <c r="I37" s="80"/>
      <c r="J37" s="80"/>
      <c r="K37" s="80"/>
      <c r="L37" s="80"/>
      <c r="M37" s="80"/>
      <c r="N37" s="80"/>
      <c r="O37" s="80"/>
      <c r="P37" s="80"/>
      <c r="Q37" s="80"/>
    </row>
    <row r="38" spans="1:17" x14ac:dyDescent="0.3">
      <c r="A38" s="9" t="s">
        <v>131</v>
      </c>
      <c r="B38" s="9"/>
      <c r="C38" s="9"/>
      <c r="D38" s="9"/>
      <c r="E38" s="9"/>
      <c r="F38" s="9"/>
      <c r="G38" s="93">
        <f>('Income Statement'!G5/'Income Statement'!C5)^(1/4)-1</f>
        <v>0.4180744051785974</v>
      </c>
      <c r="H38" s="49"/>
      <c r="I38" s="49"/>
      <c r="J38" s="49"/>
      <c r="K38" s="49"/>
      <c r="L38" s="49"/>
      <c r="M38" s="9"/>
      <c r="N38" s="9"/>
      <c r="O38" s="9"/>
      <c r="P38" s="9"/>
      <c r="Q38" s="9"/>
    </row>
    <row r="39" spans="1:17" x14ac:dyDescent="0.3">
      <c r="A39" s="9" t="s">
        <v>132</v>
      </c>
      <c r="B39" s="9"/>
      <c r="C39" s="9"/>
      <c r="D39" s="9"/>
      <c r="E39" s="9"/>
      <c r="F39" s="9"/>
      <c r="G39" s="94"/>
      <c r="H39" s="49"/>
      <c r="I39" s="49"/>
      <c r="J39" s="49"/>
      <c r="K39" s="49"/>
      <c r="L39" s="95">
        <f>('Income Statement'!L5/'Income Statement'!G5)^(1/5)-1</f>
        <v>0.24687735959211698</v>
      </c>
      <c r="M39" s="9"/>
      <c r="N39" s="9"/>
      <c r="O39" s="9"/>
      <c r="P39" s="9"/>
      <c r="Q39" s="9"/>
    </row>
    <row r="40" spans="1:17" x14ac:dyDescent="0.3">
      <c r="A40" s="9" t="s">
        <v>133</v>
      </c>
      <c r="B40" s="9"/>
      <c r="C40" s="9"/>
      <c r="D40" s="9"/>
      <c r="E40" s="9"/>
      <c r="F40" s="9"/>
      <c r="G40" s="94"/>
      <c r="H40" s="49"/>
      <c r="I40" s="49"/>
      <c r="J40" s="49"/>
      <c r="K40" s="49"/>
      <c r="L40" s="95">
        <f>('Income Statement'!L26/'Income Statement'!G26)^(1/5)-1</f>
        <v>0.30063491653918462</v>
      </c>
      <c r="M40" s="9"/>
      <c r="N40" s="9"/>
      <c r="O40" s="9"/>
      <c r="P40" s="9"/>
      <c r="Q40" s="9"/>
    </row>
    <row r="41" spans="1:17" x14ac:dyDescent="0.3">
      <c r="A41" s="9" t="s">
        <v>283</v>
      </c>
      <c r="B41" s="9"/>
      <c r="C41" s="9"/>
      <c r="D41" s="9"/>
      <c r="E41" s="9"/>
      <c r="F41" s="9"/>
      <c r="G41" s="94"/>
      <c r="H41" s="49"/>
      <c r="I41" s="49"/>
      <c r="J41" s="49"/>
      <c r="K41" s="49"/>
      <c r="L41" s="49">
        <f>('Income Statement'!Q5/'Income Statement'!G5)^(1/10)-1</f>
        <v>0.20575523259500983</v>
      </c>
      <c r="M41" s="9"/>
      <c r="N41" s="9"/>
      <c r="O41" s="9"/>
      <c r="P41" s="9"/>
      <c r="Q41" s="9"/>
    </row>
    <row r="42" spans="1:17" x14ac:dyDescent="0.3">
      <c r="A42" s="30" t="s">
        <v>284</v>
      </c>
      <c r="B42" s="30"/>
      <c r="C42" s="30"/>
      <c r="D42" s="30"/>
      <c r="E42" s="30"/>
      <c r="F42" s="30"/>
      <c r="G42" s="96"/>
      <c r="H42" s="55"/>
      <c r="I42" s="55"/>
      <c r="J42" s="55"/>
      <c r="K42" s="55"/>
      <c r="L42" s="55">
        <f>('Income Statement'!Q26/'Income Statement'!G26)^(1/10)-1</f>
        <v>0.2589614086607035</v>
      </c>
      <c r="M42" s="30"/>
      <c r="N42" s="30"/>
      <c r="O42" s="30"/>
      <c r="P42" s="30"/>
      <c r="Q42" s="30"/>
    </row>
  </sheetData>
  <pageMargins left="0.7" right="0.7" top="0.75" bottom="0.75" header="0.3" footer="0.3"/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A744B8-0A82-4661-B5C1-0C32D7A6DCC9}">
  <sheetPr>
    <tabColor rgb="FFFFC000"/>
  </sheetPr>
  <dimension ref="A1:K119"/>
  <sheetViews>
    <sheetView showGridLines="0" tabSelected="1" workbookViewId="0">
      <pane xSplit="1" ySplit="3" topLeftCell="B100" activePane="bottomRight" state="frozen"/>
      <selection pane="topRight" activeCell="B1" sqref="B1"/>
      <selection pane="bottomLeft" activeCell="A4" sqref="A4"/>
      <selection pane="bottomRight" activeCell="H113" sqref="H113"/>
    </sheetView>
  </sheetViews>
  <sheetFormatPr defaultRowHeight="14.4" x14ac:dyDescent="0.3"/>
  <cols>
    <col min="1" max="1" width="44.44140625" customWidth="1"/>
    <col min="2" max="3" width="16.6640625" customWidth="1"/>
    <col min="4" max="5" width="14.77734375" customWidth="1"/>
    <col min="6" max="11" width="15.77734375" customWidth="1"/>
  </cols>
  <sheetData>
    <row r="1" spans="1:11" ht="17.399999999999999" x14ac:dyDescent="0.35">
      <c r="A1" s="153" t="s">
        <v>137</v>
      </c>
    </row>
    <row r="2" spans="1:11" x14ac:dyDescent="0.3">
      <c r="A2" s="4" t="s">
        <v>138</v>
      </c>
    </row>
    <row r="3" spans="1:11" ht="15" thickBot="1" x14ac:dyDescent="0.35"/>
    <row r="4" spans="1:11" x14ac:dyDescent="0.3">
      <c r="A4" s="117" t="s">
        <v>139</v>
      </c>
      <c r="B4" s="203"/>
      <c r="C4" s="203"/>
      <c r="D4" s="204"/>
      <c r="E4" s="204"/>
      <c r="F4" s="10"/>
      <c r="G4" s="10"/>
      <c r="H4" s="10"/>
      <c r="I4" s="10"/>
      <c r="J4" s="10"/>
      <c r="K4" s="10"/>
    </row>
    <row r="5" spans="1:11" ht="15" thickBot="1" x14ac:dyDescent="0.35">
      <c r="A5" s="124" t="s">
        <v>140</v>
      </c>
      <c r="B5" s="124" t="s">
        <v>141</v>
      </c>
      <c r="C5" s="124" t="s">
        <v>142</v>
      </c>
      <c r="D5" s="10"/>
      <c r="E5" s="10"/>
      <c r="F5" s="10"/>
      <c r="G5" s="10"/>
      <c r="H5" s="10"/>
      <c r="I5" s="10"/>
      <c r="J5" s="10"/>
      <c r="K5" s="10"/>
    </row>
    <row r="6" spans="1:11" x14ac:dyDescent="0.3">
      <c r="A6" s="10" t="s">
        <v>143</v>
      </c>
      <c r="B6" s="154">
        <f>B63</f>
        <v>0.13819300299011009</v>
      </c>
      <c r="C6" s="10" t="s">
        <v>279</v>
      </c>
      <c r="D6" s="10"/>
      <c r="E6" s="10"/>
      <c r="F6" s="10"/>
      <c r="G6" s="10"/>
      <c r="H6" s="10"/>
      <c r="I6" s="10"/>
      <c r="J6" s="10"/>
      <c r="K6" s="10"/>
    </row>
    <row r="7" spans="1:11" x14ac:dyDescent="0.3">
      <c r="A7" s="10" t="s">
        <v>144</v>
      </c>
      <c r="B7" s="101">
        <v>5.5E-2</v>
      </c>
      <c r="C7" s="10" t="s">
        <v>3</v>
      </c>
      <c r="D7" s="10"/>
      <c r="E7" s="10"/>
      <c r="F7" s="10"/>
      <c r="G7" s="10"/>
      <c r="H7" s="10"/>
      <c r="I7" s="10"/>
      <c r="J7" s="10"/>
      <c r="K7" s="10"/>
    </row>
    <row r="8" spans="1:11" x14ac:dyDescent="0.3">
      <c r="A8" s="10" t="s">
        <v>63</v>
      </c>
      <c r="B8" s="20">
        <f>'Income Statement'!L30</f>
        <v>1.0384</v>
      </c>
      <c r="C8" s="10" t="s">
        <v>145</v>
      </c>
      <c r="D8" s="10"/>
      <c r="E8" s="10"/>
      <c r="F8" s="10"/>
      <c r="G8" s="10"/>
      <c r="H8" s="10"/>
      <c r="I8" s="10"/>
      <c r="J8" s="10"/>
      <c r="K8" s="10"/>
    </row>
    <row r="9" spans="1:11" x14ac:dyDescent="0.3">
      <c r="A9" s="10" t="s">
        <v>146</v>
      </c>
      <c r="B9" s="19">
        <f>'Balance Sheet'!G11+'Balance Sheet'!G16-'Balance Sheet'!G31</f>
        <v>-103</v>
      </c>
      <c r="C9" s="10" t="s">
        <v>147</v>
      </c>
      <c r="D9" s="10"/>
      <c r="E9" s="10"/>
      <c r="F9" s="10"/>
      <c r="G9" s="10"/>
      <c r="H9" s="10"/>
      <c r="I9" s="10"/>
      <c r="J9" s="10"/>
      <c r="K9" s="10"/>
    </row>
    <row r="10" spans="1:11" x14ac:dyDescent="0.3">
      <c r="A10" s="10" t="s">
        <v>148</v>
      </c>
      <c r="B10" s="10" t="s">
        <v>252</v>
      </c>
      <c r="C10" s="10"/>
      <c r="D10" s="10"/>
      <c r="E10" s="10"/>
      <c r="F10" s="10"/>
      <c r="G10" s="10"/>
      <c r="H10" s="10"/>
      <c r="I10" s="10"/>
      <c r="J10" s="10"/>
      <c r="K10" s="10"/>
    </row>
    <row r="11" spans="1:11" x14ac:dyDescent="0.3">
      <c r="A11" s="10" t="s">
        <v>149</v>
      </c>
      <c r="B11" s="10" t="s">
        <v>150</v>
      </c>
      <c r="C11" s="10"/>
      <c r="D11" s="10"/>
      <c r="E11" s="10"/>
      <c r="F11" s="10"/>
      <c r="G11" s="10"/>
      <c r="H11" s="10"/>
      <c r="I11" s="10"/>
      <c r="J11" s="10"/>
      <c r="K11" s="10"/>
    </row>
    <row r="12" spans="1:11" x14ac:dyDescent="0.3">
      <c r="A12" s="31" t="s">
        <v>151</v>
      </c>
      <c r="B12" s="31" t="s">
        <v>152</v>
      </c>
      <c r="C12" s="31"/>
      <c r="D12" s="10"/>
      <c r="E12" s="10"/>
      <c r="F12" s="10"/>
      <c r="G12" s="10"/>
      <c r="H12" s="10"/>
      <c r="I12" s="10"/>
      <c r="J12" s="10"/>
      <c r="K12" s="10"/>
    </row>
    <row r="13" spans="1:11" ht="15" thickBot="1" x14ac:dyDescent="0.35"/>
    <row r="14" spans="1:11" x14ac:dyDescent="0.3">
      <c r="A14" s="119" t="s">
        <v>246</v>
      </c>
      <c r="B14" s="120"/>
      <c r="C14" s="120"/>
      <c r="D14" s="120"/>
      <c r="E14" s="120"/>
      <c r="F14" s="8"/>
      <c r="G14" s="8"/>
      <c r="H14" s="8"/>
      <c r="I14" s="8"/>
      <c r="J14" s="8"/>
      <c r="K14" s="8"/>
    </row>
    <row r="15" spans="1:11" x14ac:dyDescent="0.3">
      <c r="A15" s="106"/>
      <c r="B15" s="107" t="s">
        <v>9</v>
      </c>
      <c r="C15" s="107" t="s">
        <v>10</v>
      </c>
      <c r="D15" s="107" t="s">
        <v>11</v>
      </c>
      <c r="E15" s="107" t="s">
        <v>12</v>
      </c>
      <c r="F15" s="107" t="s">
        <v>13</v>
      </c>
      <c r="G15" s="107" t="s">
        <v>240</v>
      </c>
      <c r="H15" s="107" t="s">
        <v>241</v>
      </c>
      <c r="I15" s="107" t="s">
        <v>242</v>
      </c>
      <c r="J15" s="107" t="s">
        <v>243</v>
      </c>
      <c r="K15" s="107" t="s">
        <v>244</v>
      </c>
    </row>
    <row r="16" spans="1:11" x14ac:dyDescent="0.3">
      <c r="A16" s="60" t="s">
        <v>257</v>
      </c>
      <c r="B16" s="61">
        <f>'Cash Flow'!H30</f>
        <v>33.866498287889527</v>
      </c>
      <c r="C16" s="61">
        <f>'Cash Flow'!I30</f>
        <v>101.7626217095231</v>
      </c>
      <c r="D16" s="61">
        <f>'Cash Flow'!J30</f>
        <v>149.48273081016742</v>
      </c>
      <c r="E16" s="61">
        <f>'Cash Flow'!K30</f>
        <v>212.8076385943844</v>
      </c>
      <c r="F16" s="61">
        <f>'Cash Flow'!L30</f>
        <v>270.87466636474346</v>
      </c>
      <c r="G16" s="61">
        <f>'Cash Flow'!M30</f>
        <v>350.59788659004494</v>
      </c>
      <c r="H16" s="61">
        <f>'Cash Flow'!N30</f>
        <v>427.12780430276121</v>
      </c>
      <c r="I16" s="61">
        <f>'Cash Flow'!O30</f>
        <v>520.7234145203555</v>
      </c>
      <c r="J16" s="61">
        <f>'Cash Flow'!P30</f>
        <v>609.30247098818631</v>
      </c>
      <c r="K16" s="61">
        <f>'Cash Flow'!Q30</f>
        <v>717.22762052358689</v>
      </c>
    </row>
    <row r="17" spans="1:11" x14ac:dyDescent="0.3">
      <c r="A17" s="10"/>
      <c r="B17" s="10"/>
      <c r="C17" s="10"/>
      <c r="D17" s="10"/>
      <c r="E17" s="10"/>
      <c r="F17" s="10"/>
      <c r="G17" s="10"/>
      <c r="H17" s="10"/>
      <c r="I17" s="10"/>
      <c r="J17" s="10"/>
      <c r="K17" s="10"/>
    </row>
    <row r="18" spans="1:11" x14ac:dyDescent="0.3">
      <c r="A18" s="155" t="s">
        <v>247</v>
      </c>
      <c r="B18" s="10"/>
      <c r="C18" s="10"/>
      <c r="D18" s="10"/>
      <c r="E18" s="10"/>
      <c r="F18" s="10"/>
      <c r="G18" s="10"/>
      <c r="H18" s="10"/>
      <c r="I18" s="10"/>
      <c r="J18" s="10"/>
      <c r="K18" s="10"/>
    </row>
    <row r="19" spans="1:11" x14ac:dyDescent="0.3">
      <c r="A19" s="103" t="s">
        <v>153</v>
      </c>
      <c r="B19" s="265">
        <v>0</v>
      </c>
      <c r="C19" s="265">
        <v>1</v>
      </c>
      <c r="D19" s="265">
        <v>2</v>
      </c>
      <c r="E19" s="265">
        <v>3</v>
      </c>
      <c r="F19" s="265">
        <v>4</v>
      </c>
      <c r="G19" s="265">
        <v>5</v>
      </c>
      <c r="H19" s="265">
        <v>6</v>
      </c>
      <c r="I19" s="265">
        <v>7</v>
      </c>
      <c r="J19" s="265">
        <v>8</v>
      </c>
      <c r="K19" s="265">
        <v>9</v>
      </c>
    </row>
    <row r="20" spans="1:11" x14ac:dyDescent="0.3">
      <c r="A20" s="103" t="s">
        <v>154</v>
      </c>
      <c r="B20" s="156">
        <f t="shared" ref="B20:K20" si="0">1/(1+$B$6)^B19</f>
        <v>1</v>
      </c>
      <c r="C20" s="156">
        <f t="shared" si="0"/>
        <v>0.87858561542105096</v>
      </c>
      <c r="D20" s="156">
        <f t="shared" si="0"/>
        <v>0.77191268362478671</v>
      </c>
      <c r="E20" s="156">
        <f t="shared" si="0"/>
        <v>0.67819138019379832</v>
      </c>
      <c r="F20" s="156">
        <f t="shared" si="0"/>
        <v>0.59584919114082013</v>
      </c>
      <c r="G20" s="156">
        <f t="shared" si="0"/>
        <v>0.52350452829659289</v>
      </c>
      <c r="H20" s="156">
        <f t="shared" si="0"/>
        <v>0.45994354816916894</v>
      </c>
      <c r="I20" s="156">
        <f t="shared" si="0"/>
        <v>0.40409978532715113</v>
      </c>
      <c r="J20" s="156">
        <f t="shared" si="0"/>
        <v>0.35503625858316956</v>
      </c>
      <c r="K20" s="156">
        <f t="shared" si="0"/>
        <v>0.31192974974408144</v>
      </c>
    </row>
    <row r="21" spans="1:11" x14ac:dyDescent="0.3">
      <c r="A21" s="103" t="s">
        <v>155</v>
      </c>
      <c r="B21" s="99">
        <f t="shared" ref="B21:K21" si="1">B16*B20</f>
        <v>33.866498287889527</v>
      </c>
      <c r="C21" s="99">
        <f t="shared" si="1"/>
        <v>89.407175621520949</v>
      </c>
      <c r="D21" s="99">
        <f t="shared" si="1"/>
        <v>115.38761589523793</v>
      </c>
      <c r="E21" s="99">
        <f t="shared" si="1"/>
        <v>144.32430613410858</v>
      </c>
      <c r="F21" s="99">
        <f t="shared" si="1"/>
        <v>161.4004508539719</v>
      </c>
      <c r="G21" s="99">
        <f t="shared" si="1"/>
        <v>183.53958124110383</v>
      </c>
      <c r="H21" s="99">
        <f t="shared" si="1"/>
        <v>196.4546778327184</v>
      </c>
      <c r="I21" s="99">
        <f t="shared" si="1"/>
        <v>210.4242200224968</v>
      </c>
      <c r="J21" s="99">
        <f t="shared" si="1"/>
        <v>216.32446964512587</v>
      </c>
      <c r="K21" s="99">
        <f t="shared" si="1"/>
        <v>223.72463217946546</v>
      </c>
    </row>
    <row r="22" spans="1:11" x14ac:dyDescent="0.3">
      <c r="A22" s="109"/>
      <c r="B22" s="109"/>
      <c r="C22" s="10"/>
      <c r="D22" s="10"/>
      <c r="E22" s="10"/>
      <c r="F22" s="10"/>
      <c r="G22" s="10"/>
      <c r="H22" s="10"/>
      <c r="I22" s="10"/>
      <c r="J22" s="10"/>
      <c r="K22" s="10"/>
    </row>
    <row r="23" spans="1:11" x14ac:dyDescent="0.3">
      <c r="A23" s="218" t="s">
        <v>156</v>
      </c>
      <c r="B23" s="219">
        <f>SUM(B21:K21)</f>
        <v>1574.8536277136393</v>
      </c>
      <c r="C23" s="10"/>
      <c r="D23" s="10"/>
      <c r="E23" s="10"/>
      <c r="F23" s="10"/>
      <c r="G23" s="10"/>
      <c r="H23" s="10"/>
      <c r="I23" s="10"/>
      <c r="J23" s="10"/>
      <c r="K23" s="10"/>
    </row>
    <row r="24" spans="1:11" x14ac:dyDescent="0.3">
      <c r="A24" s="157" t="s">
        <v>157</v>
      </c>
      <c r="B24" s="158">
        <f>K16*(1+$B$7)/($B$6-$B$7)</f>
        <v>9095.4180334413104</v>
      </c>
      <c r="C24" s="10"/>
      <c r="D24" s="10"/>
      <c r="E24" s="10"/>
      <c r="F24" s="10"/>
      <c r="G24" s="10"/>
      <c r="H24" s="10"/>
      <c r="I24" s="10"/>
      <c r="J24" s="10"/>
      <c r="K24" s="10"/>
    </row>
    <row r="25" spans="1:11" x14ac:dyDescent="0.3">
      <c r="A25" s="220" t="s">
        <v>158</v>
      </c>
      <c r="B25" s="221">
        <f>B24/(1+$B$6)^K19</f>
        <v>2837.1314709891531</v>
      </c>
      <c r="C25" s="10"/>
      <c r="D25" s="10"/>
      <c r="E25" s="10"/>
      <c r="F25" s="10"/>
      <c r="G25" s="10"/>
      <c r="H25" s="10"/>
      <c r="I25" s="10"/>
      <c r="J25" s="10"/>
      <c r="K25" s="10"/>
    </row>
    <row r="26" spans="1:11" x14ac:dyDescent="0.3">
      <c r="A26" s="109"/>
      <c r="B26" s="109"/>
      <c r="C26" s="10"/>
      <c r="D26" s="10"/>
      <c r="E26" s="10"/>
      <c r="F26" s="10"/>
      <c r="G26" s="10"/>
      <c r="H26" s="10"/>
      <c r="I26" s="10"/>
      <c r="J26" s="10"/>
      <c r="K26" s="10"/>
    </row>
    <row r="27" spans="1:11" x14ac:dyDescent="0.3">
      <c r="A27" s="66" t="s">
        <v>248</v>
      </c>
      <c r="B27" s="67">
        <f>B23+B25</f>
        <v>4411.9850987027921</v>
      </c>
      <c r="C27" s="10"/>
      <c r="D27" s="10"/>
      <c r="E27" s="10"/>
      <c r="F27" s="10"/>
      <c r="G27" s="10"/>
      <c r="H27" s="10"/>
      <c r="I27" s="10"/>
      <c r="J27" s="10"/>
      <c r="K27" s="10"/>
    </row>
    <row r="28" spans="1:11" x14ac:dyDescent="0.3">
      <c r="A28" s="159" t="s">
        <v>159</v>
      </c>
      <c r="B28" s="160">
        <f>B9</f>
        <v>-103</v>
      </c>
      <c r="C28" s="62" t="s">
        <v>160</v>
      </c>
      <c r="D28" s="10"/>
      <c r="E28" s="10"/>
      <c r="F28" s="10"/>
      <c r="G28" s="10"/>
      <c r="H28" s="10"/>
      <c r="I28" s="10"/>
      <c r="J28" s="10"/>
      <c r="K28" s="10"/>
    </row>
    <row r="29" spans="1:11" x14ac:dyDescent="0.3">
      <c r="A29" s="222" t="s">
        <v>249</v>
      </c>
      <c r="B29" s="223">
        <f>B27-B28</f>
        <v>4514.9850987027921</v>
      </c>
      <c r="C29" s="10"/>
      <c r="D29" s="10"/>
      <c r="E29" s="10"/>
      <c r="F29" s="10"/>
      <c r="G29" s="10"/>
      <c r="H29" s="10"/>
      <c r="I29" s="10"/>
      <c r="J29" s="10"/>
      <c r="K29" s="10"/>
    </row>
    <row r="30" spans="1:11" x14ac:dyDescent="0.3">
      <c r="A30" s="108" t="s">
        <v>63</v>
      </c>
      <c r="B30" s="161">
        <f>B8</f>
        <v>1.0384</v>
      </c>
      <c r="C30" s="10"/>
      <c r="D30" s="10"/>
      <c r="E30" s="10"/>
      <c r="F30" s="10"/>
      <c r="G30" s="10"/>
      <c r="H30" s="10"/>
      <c r="I30" s="10"/>
      <c r="J30" s="10"/>
      <c r="K30" s="10"/>
    </row>
    <row r="31" spans="1:11" ht="15" thickBot="1" x14ac:dyDescent="0.35">
      <c r="A31" s="216" t="s">
        <v>250</v>
      </c>
      <c r="B31" s="217">
        <f>B29/B30</f>
        <v>4348.021088889438</v>
      </c>
      <c r="C31" s="162" t="s">
        <v>197</v>
      </c>
      <c r="D31" s="10"/>
      <c r="E31" s="10"/>
      <c r="F31" s="10"/>
      <c r="G31" s="10"/>
      <c r="H31" s="10"/>
      <c r="I31" s="10"/>
      <c r="J31" s="10"/>
      <c r="K31" s="10"/>
    </row>
    <row r="32" spans="1:11" ht="15" thickTop="1" x14ac:dyDescent="0.3">
      <c r="A32" s="163" t="s">
        <v>251</v>
      </c>
      <c r="B32" s="164">
        <v>1101</v>
      </c>
      <c r="C32" s="10"/>
      <c r="D32" s="10"/>
      <c r="E32" s="10"/>
      <c r="F32" s="10"/>
      <c r="G32" s="10"/>
      <c r="H32" s="10"/>
      <c r="I32" s="10"/>
      <c r="J32" s="10"/>
      <c r="K32" s="10"/>
    </row>
    <row r="33" spans="1:11" ht="15" thickBot="1" x14ac:dyDescent="0.35"/>
    <row r="34" spans="1:11" x14ac:dyDescent="0.3">
      <c r="A34" s="119" t="s">
        <v>258</v>
      </c>
      <c r="B34" s="204"/>
      <c r="C34" s="204"/>
      <c r="D34" s="204"/>
      <c r="E34" s="204"/>
      <c r="F34" s="10"/>
      <c r="G34" s="10"/>
      <c r="H34" s="10"/>
    </row>
    <row r="35" spans="1:11" x14ac:dyDescent="0.3">
      <c r="A35" s="205" t="s">
        <v>161</v>
      </c>
      <c r="B35" s="10"/>
      <c r="C35" s="10"/>
      <c r="D35" s="10"/>
      <c r="E35" s="10"/>
      <c r="F35" s="10"/>
      <c r="G35" s="10"/>
      <c r="H35" s="10"/>
    </row>
    <row r="36" spans="1:11" x14ac:dyDescent="0.3">
      <c r="A36" s="165">
        <f>B31</f>
        <v>4348.021088889438</v>
      </c>
      <c r="B36" s="166">
        <v>0.03</v>
      </c>
      <c r="C36" s="166">
        <v>0.04</v>
      </c>
      <c r="D36" s="166">
        <v>4.4999999999999998E-2</v>
      </c>
      <c r="E36" s="166">
        <v>0.05</v>
      </c>
      <c r="F36" s="166">
        <v>5.5E-2</v>
      </c>
      <c r="G36" s="166">
        <v>0.06</v>
      </c>
      <c r="H36" s="166">
        <v>7.0000000000000007E-2</v>
      </c>
    </row>
    <row r="37" spans="1:11" x14ac:dyDescent="0.3">
      <c r="A37" s="167">
        <v>0.11</v>
      </c>
      <c r="B37" s="168">
        <f t="dataTable" ref="B37:H43" dt2D="1" dtr="1" r1="B7" r2="B63"/>
        <v>5321.4865364997331</v>
      </c>
      <c r="C37" s="168">
        <v>5856.6919150043814</v>
      </c>
      <c r="D37" s="168">
        <v>6186.0490710072399</v>
      </c>
      <c r="E37" s="168">
        <v>6570.2990863439118</v>
      </c>
      <c r="F37" s="168">
        <v>7024.4127408327022</v>
      </c>
      <c r="G37" s="168">
        <v>7569.3491262192538</v>
      </c>
      <c r="H37" s="168">
        <v>9067.9241860322654</v>
      </c>
    </row>
    <row r="38" spans="1:11" x14ac:dyDescent="0.3">
      <c r="A38" s="167">
        <v>0.115</v>
      </c>
      <c r="B38" s="168">
        <v>4943.2940122560658</v>
      </c>
      <c r="C38" s="168">
        <v>5396.8315086079583</v>
      </c>
      <c r="D38" s="168">
        <v>5672.1935599644639</v>
      </c>
      <c r="E38" s="168">
        <v>5989.919003837359</v>
      </c>
      <c r="F38" s="168">
        <v>6360.5986883557316</v>
      </c>
      <c r="G38" s="168">
        <v>6798.6746791501755</v>
      </c>
      <c r="H38" s="168">
        <v>7966.8773212686883</v>
      </c>
    </row>
    <row r="39" spans="1:11" x14ac:dyDescent="0.3">
      <c r="A39" s="167">
        <v>0.12</v>
      </c>
      <c r="B39" s="168">
        <v>4609.1159572248425</v>
      </c>
      <c r="C39" s="168">
        <v>4996.5659424759615</v>
      </c>
      <c r="D39" s="168">
        <v>5229.035933626632</v>
      </c>
      <c r="E39" s="168">
        <v>5494.7159235131139</v>
      </c>
      <c r="F39" s="168">
        <v>5801.2697579975147</v>
      </c>
      <c r="G39" s="168">
        <v>6158.9158982293175</v>
      </c>
      <c r="H39" s="168">
        <v>7088.7958628320021</v>
      </c>
    </row>
    <row r="40" spans="1:11" x14ac:dyDescent="0.3">
      <c r="A40" s="167">
        <v>0.13</v>
      </c>
      <c r="B40" s="168">
        <v>4046.1403773857119</v>
      </c>
      <c r="C40" s="168">
        <v>4334.8240815454556</v>
      </c>
      <c r="D40" s="168">
        <v>4504.6380251688352</v>
      </c>
      <c r="E40" s="168">
        <v>4695.6787117451368</v>
      </c>
      <c r="F40" s="168">
        <v>4912.1914898649438</v>
      </c>
      <c r="G40" s="168">
        <v>5159.6346648590115</v>
      </c>
      <c r="H40" s="168">
        <v>5778.2426023441785</v>
      </c>
    </row>
    <row r="41" spans="1:11" x14ac:dyDescent="0.3">
      <c r="A41" s="167">
        <v>0.14000000000000001</v>
      </c>
      <c r="B41" s="168">
        <v>3591.3771324047229</v>
      </c>
      <c r="C41" s="168">
        <v>3811.4978047359396</v>
      </c>
      <c r="D41" s="168">
        <v>3938.9360887171692</v>
      </c>
      <c r="E41" s="168">
        <v>4080.5341820296485</v>
      </c>
      <c r="F41" s="169">
        <v>4238.7908745553577</v>
      </c>
      <c r="G41" s="168">
        <v>4416.8296536467842</v>
      </c>
      <c r="H41" s="168">
        <v>4849.2095457259584</v>
      </c>
    </row>
    <row r="42" spans="1:11" x14ac:dyDescent="0.3">
      <c r="A42" s="167">
        <v>0.15</v>
      </c>
      <c r="B42" s="168">
        <v>3217.4035118057245</v>
      </c>
      <c r="C42" s="168">
        <v>3388.4584720889015</v>
      </c>
      <c r="D42" s="168">
        <v>3486.2041636792874</v>
      </c>
      <c r="E42" s="168">
        <v>3593.7244244287135</v>
      </c>
      <c r="F42" s="168">
        <v>3712.562607362288</v>
      </c>
      <c r="G42" s="168">
        <v>3844.6050328440388</v>
      </c>
      <c r="H42" s="168">
        <v>4158.2057933631959</v>
      </c>
    </row>
    <row r="43" spans="1:11" ht="15" thickBot="1" x14ac:dyDescent="0.35">
      <c r="A43" s="206">
        <v>0.16</v>
      </c>
      <c r="B43" s="207">
        <v>2905.261768435334</v>
      </c>
      <c r="C43" s="207">
        <v>3040.3146373574209</v>
      </c>
      <c r="D43" s="207">
        <v>3116.6488676177305</v>
      </c>
      <c r="E43" s="207">
        <v>3199.9225733562507</v>
      </c>
      <c r="F43" s="168">
        <v>3291.1271082127246</v>
      </c>
      <c r="G43" s="168">
        <v>3391.4520965548472</v>
      </c>
      <c r="H43" s="168">
        <v>3625.5437360197971</v>
      </c>
    </row>
    <row r="44" spans="1:11" x14ac:dyDescent="0.3">
      <c r="A44" s="119" t="s">
        <v>282</v>
      </c>
      <c r="B44" s="120"/>
      <c r="C44" s="120"/>
      <c r="D44" s="120"/>
      <c r="E44" s="120"/>
      <c r="F44" s="8"/>
      <c r="G44" s="8"/>
      <c r="H44" s="8"/>
      <c r="I44" s="10"/>
      <c r="J44" s="10"/>
      <c r="K44" s="10"/>
    </row>
    <row r="45" spans="1:11" x14ac:dyDescent="0.3">
      <c r="A45" s="7" t="s">
        <v>259</v>
      </c>
      <c r="B45" s="8"/>
      <c r="C45" s="8"/>
      <c r="D45" s="10"/>
      <c r="E45" s="10"/>
      <c r="F45" s="10"/>
      <c r="G45" s="10"/>
      <c r="H45" s="10"/>
      <c r="I45" s="10"/>
      <c r="J45" s="10"/>
      <c r="K45" s="10"/>
    </row>
    <row r="46" spans="1:11" x14ac:dyDescent="0.3">
      <c r="A46" s="97" t="s">
        <v>140</v>
      </c>
      <c r="B46" s="98" t="s">
        <v>141</v>
      </c>
      <c r="C46" s="97" t="s">
        <v>260</v>
      </c>
      <c r="D46" s="10"/>
      <c r="E46" s="10"/>
      <c r="F46" s="10"/>
      <c r="G46" s="10"/>
      <c r="H46" s="10"/>
      <c r="I46" s="10"/>
      <c r="J46" s="10"/>
      <c r="K46" s="10"/>
    </row>
    <row r="47" spans="1:11" x14ac:dyDescent="0.3">
      <c r="A47" s="10" t="s">
        <v>261</v>
      </c>
      <c r="B47" s="170">
        <v>6.7000000000000004E-2</v>
      </c>
      <c r="C47" s="10" t="s">
        <v>313</v>
      </c>
      <c r="D47" s="10"/>
      <c r="E47" s="10"/>
      <c r="F47" s="10"/>
      <c r="G47" s="10"/>
      <c r="H47" s="10"/>
      <c r="I47" s="10"/>
      <c r="J47" s="10"/>
      <c r="K47" s="10"/>
    </row>
    <row r="48" spans="1:11" x14ac:dyDescent="0.3">
      <c r="A48" s="10" t="s">
        <v>262</v>
      </c>
      <c r="B48" s="170">
        <v>7.46E-2</v>
      </c>
      <c r="C48" s="10" t="s">
        <v>263</v>
      </c>
      <c r="D48" s="10"/>
      <c r="E48" s="10"/>
      <c r="F48" s="10"/>
      <c r="G48" s="10"/>
      <c r="H48" s="10"/>
      <c r="I48" s="10"/>
      <c r="J48" s="10"/>
      <c r="K48" s="10"/>
    </row>
    <row r="49" spans="1:11" x14ac:dyDescent="0.3">
      <c r="A49" s="10" t="s">
        <v>264</v>
      </c>
      <c r="B49" s="171">
        <v>0.96</v>
      </c>
      <c r="C49" s="10" t="s">
        <v>265</v>
      </c>
      <c r="D49" s="10"/>
      <c r="E49" s="10"/>
      <c r="F49" s="10"/>
      <c r="G49" s="10"/>
      <c r="H49" s="10"/>
      <c r="I49" s="10"/>
      <c r="J49" s="10"/>
      <c r="K49" s="10"/>
    </row>
    <row r="50" spans="1:11" x14ac:dyDescent="0.3">
      <c r="A50" s="10" t="s">
        <v>126</v>
      </c>
      <c r="B50" s="172">
        <f>B32*B8</f>
        <v>1143.2783999999999</v>
      </c>
      <c r="C50" s="10" t="s">
        <v>314</v>
      </c>
      <c r="D50" s="10"/>
      <c r="E50" s="10"/>
      <c r="F50" s="10"/>
      <c r="G50" s="10"/>
      <c r="H50" s="10"/>
      <c r="I50" s="10"/>
      <c r="J50" s="10"/>
      <c r="K50" s="10"/>
    </row>
    <row r="51" spans="1:11" x14ac:dyDescent="0.3">
      <c r="A51" s="10" t="s">
        <v>315</v>
      </c>
      <c r="B51" s="173">
        <f>'Balance Sheet'!H11+'Balance Sheet'!H16</f>
        <v>14</v>
      </c>
      <c r="C51" s="10" t="s">
        <v>316</v>
      </c>
      <c r="D51" s="10"/>
      <c r="E51" s="10"/>
      <c r="F51" s="10"/>
      <c r="G51" s="10"/>
      <c r="H51" s="10"/>
      <c r="I51" s="10"/>
      <c r="J51" s="10"/>
      <c r="K51" s="10"/>
    </row>
    <row r="52" spans="1:11" x14ac:dyDescent="0.3">
      <c r="A52" s="10" t="s">
        <v>317</v>
      </c>
      <c r="B52" s="173">
        <f>'Balance Sheet'!H31</f>
        <v>139.05359546223573</v>
      </c>
      <c r="C52" s="10" t="s">
        <v>318</v>
      </c>
      <c r="D52" s="10"/>
      <c r="E52" s="10"/>
      <c r="F52" s="10"/>
      <c r="G52" s="10"/>
      <c r="H52" s="10"/>
      <c r="I52" s="10"/>
      <c r="J52" s="10"/>
      <c r="K52" s="10"/>
    </row>
    <row r="53" spans="1:11" x14ac:dyDescent="0.3">
      <c r="A53" s="10" t="s">
        <v>319</v>
      </c>
      <c r="B53" s="154">
        <f>B51/'Balance Sheet'!H8</f>
        <v>4.6659555944746897E-2</v>
      </c>
      <c r="C53" s="10" t="s">
        <v>320</v>
      </c>
      <c r="D53" s="10"/>
      <c r="E53" s="10"/>
      <c r="F53" s="10"/>
      <c r="G53" s="10"/>
      <c r="H53" s="10"/>
      <c r="I53" s="10"/>
      <c r="J53" s="10"/>
      <c r="K53" s="10"/>
    </row>
    <row r="54" spans="1:11" x14ac:dyDescent="0.3">
      <c r="A54" s="10" t="s">
        <v>266</v>
      </c>
      <c r="B54" s="174">
        <f>B49*(1+(1-B58)*B53)</f>
        <v>0.99471470962289166</v>
      </c>
      <c r="C54" s="10" t="s">
        <v>267</v>
      </c>
      <c r="D54" s="10"/>
      <c r="E54" s="10"/>
      <c r="F54" s="10"/>
      <c r="G54" s="10"/>
      <c r="H54" s="10"/>
      <c r="I54" s="10"/>
      <c r="J54" s="10"/>
      <c r="K54" s="10"/>
    </row>
    <row r="55" spans="1:11" x14ac:dyDescent="0.3">
      <c r="A55" s="10" t="s">
        <v>268</v>
      </c>
      <c r="B55" s="175">
        <f>B47+B54*B48</f>
        <v>0.14120571733786771</v>
      </c>
      <c r="C55" s="10" t="s">
        <v>269</v>
      </c>
      <c r="D55" s="10"/>
      <c r="E55" s="10"/>
      <c r="F55" s="10"/>
      <c r="G55" s="10"/>
      <c r="H55" s="10"/>
      <c r="I55" s="10"/>
      <c r="J55" s="10"/>
      <c r="K55" s="10"/>
    </row>
    <row r="56" spans="1:11" x14ac:dyDescent="0.3">
      <c r="A56" s="10"/>
      <c r="B56" s="10"/>
      <c r="C56" s="10"/>
      <c r="D56" s="10"/>
      <c r="E56" s="10"/>
      <c r="F56" s="10"/>
      <c r="G56" s="10"/>
      <c r="H56" s="10"/>
      <c r="I56" s="10"/>
      <c r="J56" s="10"/>
      <c r="K56" s="10"/>
    </row>
    <row r="57" spans="1:11" x14ac:dyDescent="0.3">
      <c r="A57" s="10" t="s">
        <v>270</v>
      </c>
      <c r="B57" s="170">
        <v>9.5000000000000001E-2</v>
      </c>
      <c r="C57" s="10" t="s">
        <v>281</v>
      </c>
      <c r="D57" s="10"/>
      <c r="E57" s="10"/>
      <c r="F57" s="10"/>
      <c r="G57" s="10"/>
      <c r="H57" s="10"/>
      <c r="I57" s="10"/>
      <c r="J57" s="10"/>
      <c r="K57" s="10"/>
    </row>
    <row r="58" spans="1:11" x14ac:dyDescent="0.3">
      <c r="A58" s="10" t="s">
        <v>271</v>
      </c>
      <c r="B58" s="101">
        <v>0.22500000000000001</v>
      </c>
      <c r="C58" s="10" t="s">
        <v>272</v>
      </c>
      <c r="D58" s="10"/>
      <c r="E58" s="10"/>
      <c r="F58" s="10"/>
      <c r="G58" s="10"/>
      <c r="H58" s="10"/>
      <c r="I58" s="10"/>
      <c r="J58" s="10"/>
      <c r="K58" s="10"/>
    </row>
    <row r="59" spans="1:11" x14ac:dyDescent="0.3">
      <c r="A59" s="10" t="s">
        <v>273</v>
      </c>
      <c r="B59" s="154">
        <f>B57*(1-B58)</f>
        <v>7.362500000000001E-2</v>
      </c>
      <c r="C59" s="10" t="s">
        <v>277</v>
      </c>
      <c r="D59" s="10"/>
      <c r="E59" s="10"/>
      <c r="F59" s="10"/>
      <c r="G59" s="10"/>
      <c r="H59" s="10"/>
      <c r="I59" s="10"/>
      <c r="J59" s="10"/>
      <c r="K59" s="10"/>
    </row>
    <row r="60" spans="1:11" x14ac:dyDescent="0.3">
      <c r="A60" s="10"/>
      <c r="B60" s="10"/>
      <c r="C60" s="10"/>
      <c r="D60" s="10"/>
      <c r="E60" s="10"/>
      <c r="F60" s="10"/>
      <c r="G60" s="10"/>
      <c r="H60" s="10"/>
      <c r="I60" s="10"/>
      <c r="J60" s="10"/>
      <c r="K60" s="10"/>
    </row>
    <row r="61" spans="1:11" x14ac:dyDescent="0.3">
      <c r="A61" s="10" t="s">
        <v>274</v>
      </c>
      <c r="B61" s="154">
        <f>1/(1+B53)</f>
        <v>0.95542050356323305</v>
      </c>
      <c r="C61" s="10" t="s">
        <v>321</v>
      </c>
      <c r="D61" s="10"/>
      <c r="E61" s="10"/>
      <c r="F61" s="10"/>
      <c r="G61" s="10"/>
      <c r="H61" s="10"/>
      <c r="I61" s="10"/>
      <c r="J61" s="10"/>
      <c r="K61" s="10"/>
    </row>
    <row r="62" spans="1:11" x14ac:dyDescent="0.3">
      <c r="A62" s="10" t="s">
        <v>275</v>
      </c>
      <c r="B62" s="154">
        <f>B53/(1+B53)</f>
        <v>4.4579496436766924E-2</v>
      </c>
      <c r="C62" s="10" t="s">
        <v>322</v>
      </c>
      <c r="D62" s="10"/>
      <c r="E62" s="10"/>
      <c r="F62" s="10"/>
      <c r="G62" s="10"/>
      <c r="H62" s="10"/>
      <c r="I62" s="10"/>
      <c r="J62" s="10"/>
      <c r="K62" s="10"/>
    </row>
    <row r="63" spans="1:11" ht="15" thickBot="1" x14ac:dyDescent="0.35">
      <c r="A63" s="226" t="s">
        <v>276</v>
      </c>
      <c r="B63" s="227">
        <f>B55*B61+B59*B62</f>
        <v>0.13819300299011009</v>
      </c>
      <c r="C63" s="226" t="s">
        <v>278</v>
      </c>
      <c r="D63" s="10"/>
      <c r="E63" s="10"/>
      <c r="F63" s="10"/>
      <c r="G63" s="10"/>
      <c r="H63" s="10"/>
      <c r="I63" s="10"/>
      <c r="J63" s="10"/>
      <c r="K63" s="10"/>
    </row>
    <row r="64" spans="1:11" ht="15" thickTop="1" x14ac:dyDescent="0.3">
      <c r="A64" s="224" t="s">
        <v>162</v>
      </c>
      <c r="B64" s="225"/>
      <c r="C64" s="225"/>
      <c r="D64" s="120"/>
      <c r="E64" s="120"/>
      <c r="F64" s="10"/>
      <c r="G64" s="10"/>
      <c r="H64" s="10"/>
      <c r="I64" s="10"/>
      <c r="J64" s="10"/>
      <c r="K64" s="10"/>
    </row>
    <row r="65" spans="1:11" x14ac:dyDescent="0.3">
      <c r="A65" s="208" t="s">
        <v>163</v>
      </c>
      <c r="B65" s="209" t="s">
        <v>164</v>
      </c>
      <c r="C65" s="209" t="s">
        <v>165</v>
      </c>
      <c r="D65" s="209" t="s">
        <v>166</v>
      </c>
      <c r="E65" s="209" t="s">
        <v>167</v>
      </c>
      <c r="F65" s="10"/>
      <c r="G65" s="10"/>
      <c r="H65" s="10"/>
      <c r="I65" s="10"/>
      <c r="J65" s="10"/>
      <c r="K65" s="10"/>
    </row>
    <row r="66" spans="1:11" x14ac:dyDescent="0.3">
      <c r="A66" s="176" t="s">
        <v>169</v>
      </c>
      <c r="B66" s="177">
        <v>15970</v>
      </c>
      <c r="C66" s="177">
        <v>4560</v>
      </c>
      <c r="D66" s="178">
        <v>10</v>
      </c>
      <c r="E66" s="178">
        <v>6.3</v>
      </c>
      <c r="F66" s="10"/>
      <c r="G66" s="10"/>
      <c r="H66" s="10"/>
      <c r="I66" s="10"/>
      <c r="J66" s="10"/>
      <c r="K66" s="10"/>
    </row>
    <row r="67" spans="1:11" x14ac:dyDescent="0.3">
      <c r="A67" s="176" t="s">
        <v>170</v>
      </c>
      <c r="B67" s="177">
        <v>64469</v>
      </c>
      <c r="C67" s="177">
        <v>14250</v>
      </c>
      <c r="D67" s="178">
        <v>27</v>
      </c>
      <c r="E67" s="178">
        <v>19.399999999999999</v>
      </c>
      <c r="F67" s="10"/>
      <c r="G67" s="10"/>
      <c r="H67" s="10"/>
      <c r="I67" s="10"/>
      <c r="J67" s="10"/>
      <c r="K67" s="10"/>
    </row>
    <row r="68" spans="1:11" x14ac:dyDescent="0.3">
      <c r="A68" s="176" t="s">
        <v>171</v>
      </c>
      <c r="B68" s="177">
        <v>36716</v>
      </c>
      <c r="C68" s="177">
        <v>5202</v>
      </c>
      <c r="D68" s="178">
        <v>36.200000000000003</v>
      </c>
      <c r="E68" s="178">
        <v>28</v>
      </c>
      <c r="F68" s="10"/>
      <c r="G68" s="10"/>
      <c r="H68" s="10"/>
      <c r="I68" s="10"/>
      <c r="J68" s="10"/>
      <c r="K68" s="10"/>
    </row>
    <row r="69" spans="1:11" x14ac:dyDescent="0.3">
      <c r="A69" s="176" t="s">
        <v>172</v>
      </c>
      <c r="B69" s="177">
        <v>67300</v>
      </c>
      <c r="C69" s="177">
        <v>33181</v>
      </c>
      <c r="D69" s="178">
        <v>19.100000000000001</v>
      </c>
      <c r="E69" s="178">
        <v>9.6</v>
      </c>
      <c r="F69" s="10"/>
      <c r="G69" s="10"/>
      <c r="H69" s="10"/>
      <c r="I69" s="10"/>
      <c r="J69" s="10"/>
      <c r="K69" s="10"/>
    </row>
    <row r="70" spans="1:11" x14ac:dyDescent="0.3">
      <c r="A70" s="176" t="s">
        <v>173</v>
      </c>
      <c r="B70" s="177">
        <v>413000</v>
      </c>
      <c r="C70" s="177">
        <v>56800</v>
      </c>
      <c r="D70" s="178">
        <v>37.9</v>
      </c>
      <c r="E70" s="178">
        <v>23.6</v>
      </c>
      <c r="F70" s="10"/>
      <c r="G70" s="10"/>
      <c r="H70" s="10"/>
      <c r="I70" s="10"/>
      <c r="J70" s="10"/>
      <c r="K70" s="10"/>
    </row>
    <row r="71" spans="1:11" x14ac:dyDescent="0.3">
      <c r="A71" s="176" t="s">
        <v>174</v>
      </c>
      <c r="B71" s="177">
        <v>2362</v>
      </c>
      <c r="C71" s="177">
        <v>868</v>
      </c>
      <c r="D71" s="178">
        <v>21.6</v>
      </c>
      <c r="E71" s="178">
        <v>10.3</v>
      </c>
      <c r="F71" s="10"/>
      <c r="G71" s="10"/>
      <c r="H71" s="10"/>
      <c r="I71" s="10"/>
      <c r="J71" s="10"/>
      <c r="K71" s="10"/>
    </row>
    <row r="72" spans="1:11" x14ac:dyDescent="0.3">
      <c r="A72" s="176" t="s">
        <v>175</v>
      </c>
      <c r="B72" s="177">
        <v>1830</v>
      </c>
      <c r="C72" s="177">
        <v>1762</v>
      </c>
      <c r="D72" s="178">
        <v>-16</v>
      </c>
      <c r="E72" s="178">
        <v>29.7</v>
      </c>
      <c r="F72" s="10"/>
      <c r="G72" s="10"/>
      <c r="H72" s="10"/>
      <c r="I72" s="10"/>
      <c r="J72" s="10"/>
      <c r="K72" s="10"/>
    </row>
    <row r="73" spans="1:11" x14ac:dyDescent="0.3">
      <c r="A73" s="176" t="s">
        <v>176</v>
      </c>
      <c r="B73" s="177">
        <v>2090</v>
      </c>
      <c r="C73" s="177">
        <v>604</v>
      </c>
      <c r="D73" s="178">
        <v>-268</v>
      </c>
      <c r="E73" s="178">
        <v>-182</v>
      </c>
      <c r="F73" s="10"/>
      <c r="G73" s="10"/>
      <c r="H73" s="10"/>
      <c r="I73" s="10"/>
      <c r="J73" s="10"/>
      <c r="K73" s="10"/>
    </row>
    <row r="74" spans="1:11" x14ac:dyDescent="0.3">
      <c r="A74" s="176"/>
      <c r="B74" s="176"/>
      <c r="C74" s="176"/>
      <c r="D74" s="176"/>
      <c r="E74" s="176"/>
      <c r="F74" s="10"/>
      <c r="G74" s="10"/>
      <c r="H74" s="10"/>
      <c r="I74" s="10"/>
      <c r="J74" s="10"/>
      <c r="K74" s="10"/>
    </row>
    <row r="75" spans="1:11" x14ac:dyDescent="0.3">
      <c r="A75" s="179" t="s">
        <v>177</v>
      </c>
      <c r="B75" s="176"/>
      <c r="C75" s="176"/>
      <c r="D75" s="180">
        <f>MEDIAN(D66:D73)</f>
        <v>20.350000000000001</v>
      </c>
      <c r="E75" s="180">
        <f>MEDIAN(E66:E73)</f>
        <v>14.85</v>
      </c>
      <c r="F75" s="10"/>
      <c r="G75" s="10"/>
      <c r="H75" s="10"/>
      <c r="I75" s="10"/>
      <c r="J75" s="10"/>
      <c r="K75" s="10"/>
    </row>
    <row r="76" spans="1:11" ht="15" thickBot="1" x14ac:dyDescent="0.35"/>
    <row r="77" spans="1:11" x14ac:dyDescent="0.3">
      <c r="A77" s="119" t="s">
        <v>178</v>
      </c>
      <c r="B77" s="120"/>
      <c r="C77" s="120"/>
      <c r="D77" s="120"/>
      <c r="E77" s="204"/>
      <c r="F77" s="10"/>
      <c r="G77" s="10"/>
      <c r="H77" s="10"/>
      <c r="I77" s="10"/>
      <c r="J77" s="10"/>
      <c r="K77" s="10"/>
    </row>
    <row r="78" spans="1:11" x14ac:dyDescent="0.3">
      <c r="A78" s="97" t="s">
        <v>179</v>
      </c>
      <c r="B78" s="98" t="s">
        <v>288</v>
      </c>
      <c r="C78" s="98" t="s">
        <v>168</v>
      </c>
      <c r="D78" s="10"/>
      <c r="E78" s="10"/>
      <c r="F78" s="10"/>
      <c r="G78" s="10"/>
      <c r="H78" s="10"/>
      <c r="I78" s="10"/>
      <c r="J78" s="10"/>
      <c r="K78" s="10"/>
    </row>
    <row r="79" spans="1:11" x14ac:dyDescent="0.3">
      <c r="A79" s="10" t="s">
        <v>165</v>
      </c>
      <c r="B79" s="10">
        <f>'Income Statement'!H5</f>
        <v>400.00000000041001</v>
      </c>
      <c r="C79" s="10" t="s">
        <v>180</v>
      </c>
      <c r="D79" s="10"/>
      <c r="E79" s="10"/>
      <c r="F79" s="10"/>
      <c r="G79" s="10"/>
      <c r="H79" s="10"/>
      <c r="I79" s="10"/>
      <c r="J79" s="10"/>
      <c r="K79" s="10"/>
    </row>
    <row r="80" spans="1:11" x14ac:dyDescent="0.3">
      <c r="A80" s="10" t="s">
        <v>181</v>
      </c>
      <c r="B80" s="10">
        <f>'Income Statement'!H17</f>
        <v>88.000000000090211</v>
      </c>
      <c r="C80" s="10" t="s">
        <v>180</v>
      </c>
      <c r="D80" s="10"/>
      <c r="E80" s="10"/>
      <c r="F80" s="10"/>
      <c r="G80" s="10"/>
      <c r="H80" s="10"/>
      <c r="I80" s="10"/>
      <c r="J80" s="10"/>
      <c r="K80" s="10"/>
    </row>
    <row r="81" spans="1:11" x14ac:dyDescent="0.3">
      <c r="A81" s="10" t="s">
        <v>182</v>
      </c>
      <c r="B81" s="50">
        <f>'Income Statement'!H26</f>
        <v>63.724375000065137</v>
      </c>
      <c r="C81" s="10" t="s">
        <v>180</v>
      </c>
      <c r="D81" s="10"/>
      <c r="E81" s="10"/>
      <c r="F81" s="10"/>
      <c r="G81" s="10"/>
      <c r="H81" s="10"/>
      <c r="I81" s="10"/>
      <c r="J81" s="10"/>
      <c r="K81" s="10"/>
    </row>
    <row r="82" spans="1:11" x14ac:dyDescent="0.3">
      <c r="A82" s="10" t="s">
        <v>183</v>
      </c>
      <c r="B82" s="50">
        <f>'Balance Sheet'!H11+'Balance Sheet'!H16-'Balance Sheet'!H31</f>
        <v>-125.05359546223573</v>
      </c>
      <c r="C82" s="10" t="s">
        <v>184</v>
      </c>
      <c r="D82" s="10"/>
      <c r="E82" s="10"/>
      <c r="F82" s="10"/>
      <c r="G82" s="10"/>
      <c r="H82" s="10"/>
      <c r="I82" s="10"/>
      <c r="J82" s="10"/>
      <c r="K82" s="10"/>
    </row>
    <row r="83" spans="1:11" x14ac:dyDescent="0.3">
      <c r="A83" s="10"/>
      <c r="B83" s="10"/>
      <c r="C83" s="10"/>
      <c r="D83" s="10"/>
      <c r="E83" s="10"/>
      <c r="F83" s="10"/>
      <c r="G83" s="10"/>
      <c r="H83" s="10"/>
      <c r="I83" s="10"/>
      <c r="J83" s="10"/>
      <c r="K83" s="10"/>
    </row>
    <row r="84" spans="1:11" x14ac:dyDescent="0.3">
      <c r="A84" s="97" t="s">
        <v>185</v>
      </c>
      <c r="B84" s="98" t="s">
        <v>289</v>
      </c>
      <c r="C84" s="98" t="s">
        <v>290</v>
      </c>
      <c r="D84" s="10"/>
      <c r="E84" s="10"/>
      <c r="F84" s="10"/>
      <c r="G84" s="10"/>
      <c r="H84" s="10"/>
      <c r="I84" s="10"/>
      <c r="J84" s="10"/>
      <c r="K84" s="10"/>
    </row>
    <row r="85" spans="1:11" x14ac:dyDescent="0.3">
      <c r="A85" s="97" t="s">
        <v>186</v>
      </c>
      <c r="B85" s="98" t="s">
        <v>187</v>
      </c>
      <c r="C85" s="98" t="s">
        <v>188</v>
      </c>
      <c r="D85" s="10"/>
      <c r="E85" s="10"/>
      <c r="F85" s="10"/>
      <c r="G85" s="10"/>
      <c r="H85" s="10"/>
      <c r="I85" s="10"/>
      <c r="J85" s="10"/>
      <c r="K85" s="10"/>
    </row>
    <row r="86" spans="1:11" x14ac:dyDescent="0.3">
      <c r="A86" s="10" t="s">
        <v>189</v>
      </c>
      <c r="B86" s="50">
        <f>$D$75*$B$81</f>
        <v>1296.7910312513256</v>
      </c>
      <c r="C86" s="50">
        <f>B86/$B$8</f>
        <v>1248.8357388783952</v>
      </c>
      <c r="D86" s="10"/>
      <c r="E86" s="10"/>
      <c r="F86" s="10"/>
      <c r="G86" s="10"/>
      <c r="H86" s="10"/>
      <c r="I86" s="10"/>
      <c r="J86" s="10"/>
      <c r="K86" s="10"/>
    </row>
    <row r="87" spans="1:11" x14ac:dyDescent="0.3">
      <c r="A87" s="10" t="s">
        <v>190</v>
      </c>
      <c r="B87" s="50">
        <f>$E$75*$B$80+$B$82</f>
        <v>1181.7464045391039</v>
      </c>
      <c r="C87" s="50">
        <f>B87/$B$8</f>
        <v>1138.0454589167025</v>
      </c>
      <c r="D87" s="10"/>
      <c r="E87" s="10"/>
      <c r="F87" s="10"/>
      <c r="G87" s="10"/>
      <c r="H87" s="10"/>
      <c r="I87" s="10"/>
      <c r="J87" s="10"/>
      <c r="K87" s="10"/>
    </row>
    <row r="89" spans="1:11" ht="15" thickBot="1" x14ac:dyDescent="0.35"/>
    <row r="90" spans="1:11" x14ac:dyDescent="0.3">
      <c r="A90" s="119" t="s">
        <v>191</v>
      </c>
      <c r="B90" s="120"/>
      <c r="C90" s="120"/>
      <c r="D90" s="120"/>
      <c r="E90" s="120"/>
      <c r="F90" s="10"/>
      <c r="G90" s="10"/>
      <c r="H90" s="10"/>
      <c r="I90" s="10"/>
      <c r="J90" s="10"/>
      <c r="K90" s="10"/>
    </row>
    <row r="91" spans="1:11" x14ac:dyDescent="0.3">
      <c r="A91" s="208" t="s">
        <v>186</v>
      </c>
      <c r="B91" s="209" t="s">
        <v>291</v>
      </c>
      <c r="C91" s="209" t="s">
        <v>192</v>
      </c>
      <c r="D91" s="209" t="s">
        <v>292</v>
      </c>
      <c r="E91" s="209" t="s">
        <v>142</v>
      </c>
      <c r="F91" s="10"/>
      <c r="G91" s="10"/>
      <c r="H91" s="10"/>
      <c r="I91" s="10"/>
      <c r="J91" s="10"/>
      <c r="K91" s="10"/>
    </row>
    <row r="92" spans="1:11" x14ac:dyDescent="0.3">
      <c r="A92" s="181" t="s">
        <v>193</v>
      </c>
      <c r="B92" s="177">
        <f>B43</f>
        <v>2905.261768435334</v>
      </c>
      <c r="C92" s="182">
        <f>B31</f>
        <v>4348.021088889438</v>
      </c>
      <c r="D92" s="177">
        <f>H37</f>
        <v>9067.9241860322654</v>
      </c>
      <c r="E92" s="183" t="s">
        <v>194</v>
      </c>
      <c r="F92" s="10"/>
      <c r="G92" s="10"/>
      <c r="H92" s="10"/>
      <c r="I92" s="10"/>
      <c r="J92" s="10"/>
      <c r="K92" s="10"/>
    </row>
    <row r="93" spans="1:11" x14ac:dyDescent="0.3">
      <c r="A93" s="176" t="s">
        <v>189</v>
      </c>
      <c r="B93" s="177">
        <f>C86</f>
        <v>1248.8357388783952</v>
      </c>
      <c r="C93" s="177">
        <f>C86</f>
        <v>1248.8357388783952</v>
      </c>
      <c r="D93" s="177">
        <f>C86</f>
        <v>1248.8357388783952</v>
      </c>
      <c r="E93" s="183" t="s">
        <v>293</v>
      </c>
      <c r="F93" s="10"/>
      <c r="G93" s="10"/>
      <c r="H93" s="10"/>
      <c r="I93" s="10"/>
      <c r="J93" s="10"/>
      <c r="K93" s="10"/>
    </row>
    <row r="94" spans="1:11" x14ac:dyDescent="0.3">
      <c r="A94" s="176" t="s">
        <v>190</v>
      </c>
      <c r="B94" s="177">
        <f>C87</f>
        <v>1138.0454589167025</v>
      </c>
      <c r="C94" s="177">
        <f>C87</f>
        <v>1138.0454589167025</v>
      </c>
      <c r="D94" s="177">
        <f>C87</f>
        <v>1138.0454589167025</v>
      </c>
      <c r="E94" s="183" t="s">
        <v>294</v>
      </c>
      <c r="F94" s="10"/>
      <c r="G94" s="10"/>
      <c r="H94" s="10"/>
      <c r="I94" s="10"/>
      <c r="J94" s="10"/>
      <c r="K94" s="10"/>
    </row>
    <row r="95" spans="1:11" x14ac:dyDescent="0.3">
      <c r="A95" s="176"/>
      <c r="B95" s="176"/>
      <c r="C95" s="176"/>
      <c r="D95" s="176"/>
      <c r="E95" s="176"/>
      <c r="F95" s="10"/>
      <c r="G95" s="10"/>
      <c r="H95" s="10"/>
      <c r="I95" s="10"/>
      <c r="J95" s="10"/>
      <c r="K95" s="10"/>
    </row>
    <row r="96" spans="1:11" ht="15" thickBot="1" x14ac:dyDescent="0.35">
      <c r="A96" s="184" t="s">
        <v>195</v>
      </c>
      <c r="B96" s="185">
        <f>B32</f>
        <v>1101</v>
      </c>
      <c r="C96" s="185">
        <f>B32</f>
        <v>1101</v>
      </c>
      <c r="D96" s="185">
        <f>B32</f>
        <v>1101</v>
      </c>
      <c r="E96" s="186" t="s">
        <v>196</v>
      </c>
      <c r="F96" s="10"/>
      <c r="G96" s="10"/>
      <c r="H96" s="10"/>
      <c r="I96" s="10"/>
      <c r="J96" s="10"/>
      <c r="K96" s="10"/>
    </row>
    <row r="97" spans="1:11" x14ac:dyDescent="0.3">
      <c r="A97" s="187" t="s">
        <v>216</v>
      </c>
      <c r="B97" s="188">
        <f>(B92-B96)/B96</f>
        <v>1.6387482002137457</v>
      </c>
      <c r="C97" s="188">
        <f>(C92-C96)/C96</f>
        <v>2.9491563023518963</v>
      </c>
      <c r="D97" s="188">
        <f>(D92-D96)/D96</f>
        <v>7.2360800963054182</v>
      </c>
      <c r="E97" s="189" t="s">
        <v>211</v>
      </c>
      <c r="F97" s="10"/>
      <c r="G97" s="10"/>
      <c r="H97" s="10"/>
      <c r="I97" s="10"/>
      <c r="J97" s="10"/>
      <c r="K97" s="10"/>
    </row>
    <row r="98" spans="1:11" x14ac:dyDescent="0.3">
      <c r="A98" s="187" t="s">
        <v>217</v>
      </c>
      <c r="B98" s="188">
        <f>(B93-B96)/B96</f>
        <v>0.13427405892678948</v>
      </c>
      <c r="C98" s="188">
        <f>(C93-C96)/C96</f>
        <v>0.13427405892678948</v>
      </c>
      <c r="D98" s="188">
        <f>(D93-D96)/D96</f>
        <v>0.13427405892678948</v>
      </c>
      <c r="E98" s="3"/>
      <c r="F98" s="10"/>
      <c r="G98" s="10"/>
      <c r="H98" s="10"/>
      <c r="I98" s="10"/>
      <c r="J98" s="10"/>
      <c r="K98" s="10"/>
    </row>
    <row r="99" spans="1:11" ht="15" thickBot="1" x14ac:dyDescent="0.35">
      <c r="A99" s="187" t="s">
        <v>218</v>
      </c>
      <c r="B99" s="188">
        <f>(B94-B96)/B96</f>
        <v>3.3647101650047681E-2</v>
      </c>
      <c r="C99" s="188">
        <f>(C94-C96)/C96</f>
        <v>3.3647101650047681E-2</v>
      </c>
      <c r="D99" s="188">
        <f>(D94-D96)/D96</f>
        <v>3.3647101650047681E-2</v>
      </c>
      <c r="E99" s="3"/>
      <c r="F99" s="10"/>
      <c r="G99" s="10"/>
      <c r="H99" s="10"/>
      <c r="I99" s="10"/>
      <c r="J99" s="10"/>
      <c r="K99" s="10"/>
    </row>
    <row r="100" spans="1:11" x14ac:dyDescent="0.3">
      <c r="A100" s="119" t="s">
        <v>295</v>
      </c>
      <c r="B100" s="213"/>
      <c r="C100" s="213"/>
      <c r="D100" s="213"/>
      <c r="E100" s="214"/>
      <c r="F100" s="10"/>
      <c r="G100" s="10"/>
      <c r="H100" s="10"/>
      <c r="I100" s="10"/>
      <c r="J100" s="10"/>
      <c r="K100" s="10"/>
    </row>
    <row r="101" spans="1:11" x14ac:dyDescent="0.3">
      <c r="A101" s="210" t="s">
        <v>296</v>
      </c>
      <c r="B101" s="211" t="s">
        <v>297</v>
      </c>
      <c r="C101" s="211" t="s">
        <v>298</v>
      </c>
      <c r="D101" s="211" t="s">
        <v>299</v>
      </c>
      <c r="E101" s="212" t="s">
        <v>142</v>
      </c>
      <c r="F101" s="10"/>
      <c r="G101" s="10"/>
      <c r="H101" s="10"/>
      <c r="I101" s="10"/>
      <c r="J101" s="10"/>
      <c r="K101" s="10"/>
    </row>
    <row r="102" spans="1:11" x14ac:dyDescent="0.3">
      <c r="A102" s="190" t="s">
        <v>300</v>
      </c>
      <c r="B102" s="191">
        <f>C92</f>
        <v>4348.021088889438</v>
      </c>
      <c r="C102" s="192">
        <v>0.5</v>
      </c>
      <c r="D102" s="191">
        <f>B102*C102</f>
        <v>2174.010544444719</v>
      </c>
      <c r="E102" s="183" t="s">
        <v>301</v>
      </c>
      <c r="F102" s="10"/>
      <c r="G102" s="10"/>
      <c r="H102" s="10"/>
      <c r="I102" s="10"/>
      <c r="J102" s="10"/>
      <c r="K102" s="10"/>
    </row>
    <row r="103" spans="1:11" x14ac:dyDescent="0.3">
      <c r="A103" s="190" t="s">
        <v>302</v>
      </c>
      <c r="B103" s="191">
        <f>C93</f>
        <v>1248.8357388783952</v>
      </c>
      <c r="C103" s="10"/>
      <c r="D103" s="10"/>
      <c r="E103" s="183" t="s">
        <v>303</v>
      </c>
      <c r="F103" s="10"/>
      <c r="G103" s="10"/>
      <c r="H103" s="10"/>
      <c r="I103" s="10"/>
      <c r="J103" s="10"/>
      <c r="K103" s="10"/>
    </row>
    <row r="104" spans="1:11" x14ac:dyDescent="0.3">
      <c r="A104" s="190" t="s">
        <v>304</v>
      </c>
      <c r="B104" s="191">
        <f>C94</f>
        <v>1138.0454589167025</v>
      </c>
      <c r="C104" s="10"/>
      <c r="D104" s="10"/>
      <c r="E104" s="183" t="s">
        <v>305</v>
      </c>
      <c r="F104" s="10"/>
      <c r="G104" s="10"/>
      <c r="H104" s="10"/>
      <c r="I104" s="10"/>
      <c r="J104" s="10"/>
      <c r="K104" s="10"/>
    </row>
    <row r="105" spans="1:11" x14ac:dyDescent="0.3">
      <c r="A105" s="193" t="s">
        <v>306</v>
      </c>
      <c r="B105" s="194">
        <f>AVERAGE(B103:B104)</f>
        <v>1193.4405988975489</v>
      </c>
      <c r="C105" s="192">
        <v>0.5</v>
      </c>
      <c r="D105" s="194">
        <f>B105*C105</f>
        <v>596.72029944877443</v>
      </c>
      <c r="E105" s="183" t="s">
        <v>307</v>
      </c>
      <c r="F105" s="10"/>
      <c r="G105" s="10"/>
      <c r="H105" s="10"/>
      <c r="I105" s="10"/>
      <c r="J105" s="10"/>
      <c r="K105" s="10"/>
    </row>
    <row r="106" spans="1:11" ht="15" thickBot="1" x14ac:dyDescent="0.35">
      <c r="A106" s="10"/>
      <c r="B106" s="10"/>
      <c r="C106" s="10"/>
      <c r="D106" s="10"/>
      <c r="E106" s="10"/>
      <c r="F106" s="10"/>
      <c r="G106" s="10"/>
      <c r="H106" s="10"/>
      <c r="I106" s="10"/>
      <c r="J106" s="10"/>
      <c r="K106" s="10"/>
    </row>
    <row r="107" spans="1:11" ht="15" thickBot="1" x14ac:dyDescent="0.35">
      <c r="A107" s="229" t="s">
        <v>308</v>
      </c>
      <c r="B107" s="257"/>
      <c r="C107" s="10"/>
      <c r="D107" s="195">
        <f>D102+D105</f>
        <v>2770.7308438934933</v>
      </c>
      <c r="E107" s="196" t="s">
        <v>309</v>
      </c>
      <c r="F107" s="10"/>
      <c r="G107" s="10"/>
      <c r="H107" s="10"/>
      <c r="I107" s="10"/>
      <c r="J107" s="10"/>
      <c r="K107" s="10"/>
    </row>
    <row r="108" spans="1:11" ht="15.6" thickTop="1" thickBot="1" x14ac:dyDescent="0.35">
      <c r="A108" s="263" t="s">
        <v>195</v>
      </c>
      <c r="B108" s="228">
        <f>B96</f>
        <v>1101</v>
      </c>
      <c r="C108" s="264"/>
      <c r="D108" s="264"/>
      <c r="E108" s="197" t="s">
        <v>196</v>
      </c>
      <c r="F108" s="10"/>
      <c r="G108" s="10"/>
      <c r="H108" s="10"/>
      <c r="I108" s="10"/>
      <c r="J108" s="10"/>
      <c r="K108" s="10"/>
    </row>
    <row r="109" spans="1:11" x14ac:dyDescent="0.3">
      <c r="A109" s="262"/>
      <c r="B109" s="262"/>
      <c r="C109" s="262"/>
      <c r="D109" s="262"/>
      <c r="E109" s="262"/>
      <c r="F109" s="10"/>
      <c r="G109" s="10"/>
      <c r="H109" s="10"/>
      <c r="I109" s="10"/>
      <c r="J109" s="10"/>
      <c r="K109" s="10"/>
    </row>
    <row r="110" spans="1:11" x14ac:dyDescent="0.3">
      <c r="A110" s="259" t="s">
        <v>310</v>
      </c>
      <c r="B110" s="260">
        <f>(D107-B108)/B108</f>
        <v>1.5165584413201574</v>
      </c>
      <c r="C110" s="10"/>
      <c r="D110" s="10"/>
      <c r="E110" s="261" t="s">
        <v>211</v>
      </c>
      <c r="F110" s="10"/>
      <c r="G110" s="10"/>
      <c r="H110" s="10"/>
      <c r="I110" s="10"/>
      <c r="J110" s="10"/>
      <c r="K110" s="10"/>
    </row>
    <row r="111" spans="1:11" x14ac:dyDescent="0.3">
      <c r="A111" s="187" t="s">
        <v>311</v>
      </c>
      <c r="B111" s="188">
        <f>(C92-B108)/B108</f>
        <v>2.9491563023518963</v>
      </c>
      <c r="C111" s="10"/>
      <c r="D111" s="10"/>
      <c r="E111" s="3"/>
      <c r="F111" s="10"/>
      <c r="G111" s="10"/>
      <c r="H111" s="10"/>
      <c r="I111" s="10"/>
      <c r="J111" s="10"/>
      <c r="K111" s="10"/>
    </row>
    <row r="112" spans="1:11" x14ac:dyDescent="0.3">
      <c r="A112" s="187" t="s">
        <v>312</v>
      </c>
      <c r="B112" s="188">
        <f>(B105-B108)/B108</f>
        <v>8.3960580288418574E-2</v>
      </c>
      <c r="C112" s="10"/>
      <c r="D112" s="10"/>
      <c r="E112" s="3"/>
      <c r="F112" s="10"/>
      <c r="G112" s="10"/>
      <c r="H112" s="10"/>
      <c r="I112" s="10"/>
      <c r="J112" s="10"/>
      <c r="K112" s="10"/>
    </row>
    <row r="113" spans="1:11" ht="15" thickBot="1" x14ac:dyDescent="0.35">
      <c r="A113" s="2"/>
      <c r="B113" s="6"/>
      <c r="C113" s="6"/>
      <c r="D113" s="6"/>
      <c r="E113" s="4"/>
    </row>
    <row r="114" spans="1:11" x14ac:dyDescent="0.3">
      <c r="A114" s="119" t="s">
        <v>219</v>
      </c>
      <c r="B114" s="215"/>
      <c r="C114" s="215"/>
      <c r="D114" s="215"/>
      <c r="E114" s="214"/>
      <c r="F114" s="10"/>
      <c r="G114" s="10"/>
      <c r="H114" s="10"/>
      <c r="I114" s="10"/>
      <c r="J114" s="10"/>
      <c r="K114" s="10"/>
    </row>
    <row r="115" spans="1:11" x14ac:dyDescent="0.3">
      <c r="A115" s="106" t="s">
        <v>212</v>
      </c>
      <c r="B115" s="198" t="s">
        <v>213</v>
      </c>
      <c r="C115" s="199"/>
      <c r="D115" s="199"/>
      <c r="E115" s="200"/>
      <c r="F115" s="10"/>
      <c r="G115" s="10"/>
      <c r="H115" s="10"/>
      <c r="I115" s="10"/>
      <c r="J115" s="10"/>
      <c r="K115" s="10"/>
    </row>
    <row r="116" spans="1:11" ht="99.6" customHeight="1" x14ac:dyDescent="0.3">
      <c r="A116" s="201" t="s">
        <v>220</v>
      </c>
      <c r="B116" s="258" t="s">
        <v>253</v>
      </c>
      <c r="C116" s="258"/>
      <c r="D116" s="258"/>
      <c r="E116" s="258"/>
      <c r="F116" s="258"/>
      <c r="G116" s="258"/>
      <c r="H116" s="10"/>
      <c r="I116" s="10"/>
      <c r="J116" s="10"/>
      <c r="K116" s="10"/>
    </row>
    <row r="117" spans="1:11" ht="14.4" customHeight="1" x14ac:dyDescent="0.3">
      <c r="A117" s="5" t="s">
        <v>214</v>
      </c>
      <c r="B117" s="202" t="s">
        <v>215</v>
      </c>
      <c r="C117" s="202"/>
      <c r="D117" s="202"/>
      <c r="E117" s="202"/>
      <c r="F117" s="56"/>
      <c r="G117" s="56"/>
      <c r="H117" s="56"/>
      <c r="I117" s="56"/>
      <c r="J117" s="56"/>
      <c r="K117" s="56"/>
    </row>
    <row r="118" spans="1:11" x14ac:dyDescent="0.3">
      <c r="A118" s="5" t="s">
        <v>198</v>
      </c>
      <c r="B118" s="56"/>
      <c r="C118" s="56"/>
      <c r="D118" s="56"/>
      <c r="E118" s="56"/>
      <c r="F118" s="56"/>
      <c r="G118" s="56"/>
      <c r="H118" s="56"/>
      <c r="I118" s="56"/>
      <c r="J118" s="56"/>
      <c r="K118" s="56"/>
    </row>
    <row r="119" spans="1:11" x14ac:dyDescent="0.3">
      <c r="A119" s="4" t="s">
        <v>280</v>
      </c>
      <c r="B119" s="56"/>
      <c r="C119" s="56"/>
      <c r="D119" s="56"/>
      <c r="E119" s="56"/>
      <c r="F119" s="56"/>
      <c r="G119" s="56"/>
      <c r="H119" s="56"/>
      <c r="I119" s="56"/>
      <c r="J119" s="56"/>
      <c r="K119" s="56"/>
    </row>
  </sheetData>
  <mergeCells count="2">
    <mergeCell ref="B117:E117"/>
    <mergeCell ref="B116:G116"/>
  </mergeCells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Assumptions</vt:lpstr>
      <vt:lpstr>Income Statement</vt:lpstr>
      <vt:lpstr>Balance Sheet</vt:lpstr>
      <vt:lpstr>Cash Flow</vt:lpstr>
      <vt:lpstr>Ratios &amp; Valuation</vt:lpstr>
      <vt:lpstr>Valuation Exercise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Harsh Vijay</dc:creator>
  <cp:lastModifiedBy>Harsh Vijay</cp:lastModifiedBy>
  <dcterms:created xsi:type="dcterms:W3CDTF">2026-02-18T12:01:12Z</dcterms:created>
  <dcterms:modified xsi:type="dcterms:W3CDTF">2026-03-12T09:58:59Z</dcterms:modified>
</cp:coreProperties>
</file>