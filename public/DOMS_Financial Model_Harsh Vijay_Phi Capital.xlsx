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0.xml" ContentType="application/vnd.ms-excel.person+xml"/>
  <Override PartName="/xl/persons/person2.xml" ContentType="application/vnd.ms-excel.person+xml"/>
  <Override PartName="/xl/persons/person1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13_ncr:1_{1C3511DC-2B88-44F7-B8F6-1A1712AE6E28}" xr6:coauthVersionLast="47" xr6:coauthVersionMax="47" xr10:uidLastSave="{00000000-0000-0000-0000-000000000000}"/>
  <bookViews>
    <workbookView xWindow="-108" yWindow="-108" windowWidth="23256" windowHeight="12456" tabRatio="906" activeTab="1" xr2:uid="{6D74435A-72D3-4D17-9938-22A33E8E6CCB}"/>
  </bookViews>
  <sheets>
    <sheet name="Cover" sheetId="2" r:id="rId1"/>
    <sheet name="Revenue Build" sheetId="7" r:id="rId2"/>
    <sheet name="Assumptions" sheetId="3" r:id="rId3"/>
    <sheet name="Income Statement" sheetId="4" r:id="rId4"/>
    <sheet name="Balance Sheet" sheetId="5" r:id="rId5"/>
    <sheet name="Cash Flow Statement" sheetId="6" r:id="rId6"/>
    <sheet name="Working Capital" sheetId="8" r:id="rId7"/>
    <sheet name="Debt Schedule" sheetId="9" r:id="rId8"/>
    <sheet name="DCF Valuation" sheetId="10" r:id="rId9"/>
    <sheet name="Trading Comps" sheetId="11" r:id="rId10"/>
    <sheet name="Precedent Transactions" sheetId="12" r:id="rId11"/>
    <sheet name="Returns Analysis" sheetId="13" r:id="rId12"/>
  </sheets>
  <definedNames>
    <definedName name="solver_eng" localSheetId="8" hidden="1">1</definedName>
    <definedName name="solver_neg" localSheetId="8" hidden="1">1</definedName>
    <definedName name="solver_num" localSheetId="8" hidden="1">0</definedName>
    <definedName name="solver_opt" localSheetId="8" hidden="1">'DCF Valuation'!$E$52</definedName>
    <definedName name="solver_typ" localSheetId="8" hidden="1">1</definedName>
    <definedName name="solver_val" localSheetId="8" hidden="1">0</definedName>
    <definedName name="solver_ver" localSheetId="8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5" l="1"/>
  <c r="O6" i="3"/>
  <c r="N6" i="3"/>
  <c r="M6" i="3"/>
  <c r="L6" i="3"/>
  <c r="K6" i="3"/>
  <c r="J6" i="3"/>
  <c r="I6" i="3"/>
  <c r="H6" i="3"/>
  <c r="G6" i="3"/>
  <c r="F6" i="3"/>
  <c r="O5" i="3"/>
  <c r="N5" i="3"/>
  <c r="M5" i="3"/>
  <c r="L5" i="3"/>
  <c r="K5" i="3"/>
  <c r="J5" i="3"/>
  <c r="I5" i="3"/>
  <c r="H5" i="3"/>
  <c r="G5" i="3"/>
  <c r="F5" i="3"/>
  <c r="O4" i="4"/>
  <c r="N4" i="4"/>
  <c r="M4" i="4"/>
  <c r="L4" i="4"/>
  <c r="K4" i="4"/>
  <c r="J4" i="4"/>
  <c r="I4" i="4"/>
  <c r="H4" i="4"/>
  <c r="G4" i="4"/>
  <c r="F4" i="4"/>
  <c r="O46" i="7"/>
  <c r="N46" i="7"/>
  <c r="M46" i="7"/>
  <c r="L46" i="7"/>
  <c r="K46" i="7"/>
  <c r="J46" i="7"/>
  <c r="I46" i="7"/>
  <c r="H46" i="7"/>
  <c r="G46" i="7"/>
  <c r="O45" i="7"/>
  <c r="N45" i="7"/>
  <c r="M45" i="7"/>
  <c r="L45" i="7"/>
  <c r="K45" i="7"/>
  <c r="J45" i="7"/>
  <c r="I45" i="7"/>
  <c r="H45" i="7"/>
  <c r="G45" i="7"/>
  <c r="O44" i="7"/>
  <c r="N44" i="7"/>
  <c r="M44" i="7"/>
  <c r="L44" i="7"/>
  <c r="K44" i="7"/>
  <c r="J44" i="7"/>
  <c r="I44" i="7"/>
  <c r="H44" i="7"/>
  <c r="G44" i="7"/>
  <c r="O43" i="7"/>
  <c r="N43" i="7"/>
  <c r="M43" i="7"/>
  <c r="L43" i="7"/>
  <c r="K43" i="7"/>
  <c r="J43" i="7"/>
  <c r="I43" i="7"/>
  <c r="H43" i="7"/>
  <c r="G43" i="7"/>
  <c r="O42" i="7"/>
  <c r="N42" i="7"/>
  <c r="M42" i="7"/>
  <c r="L42" i="7"/>
  <c r="K42" i="7"/>
  <c r="J42" i="7"/>
  <c r="I42" i="7"/>
  <c r="H42" i="7"/>
  <c r="G42" i="7"/>
  <c r="O41" i="7"/>
  <c r="N41" i="7"/>
  <c r="M41" i="7"/>
  <c r="L41" i="7"/>
  <c r="K41" i="7"/>
  <c r="J41" i="7"/>
  <c r="I41" i="7"/>
  <c r="H41" i="7"/>
  <c r="G41" i="7"/>
  <c r="O40" i="7"/>
  <c r="N40" i="7"/>
  <c r="M40" i="7"/>
  <c r="L40" i="7"/>
  <c r="K40" i="7"/>
  <c r="J40" i="7"/>
  <c r="I40" i="7"/>
  <c r="H40" i="7"/>
  <c r="G40" i="7"/>
  <c r="O39" i="7"/>
  <c r="N39" i="7"/>
  <c r="M39" i="7"/>
  <c r="L39" i="7"/>
  <c r="K39" i="7"/>
  <c r="J39" i="7"/>
  <c r="I39" i="7"/>
  <c r="H39" i="7"/>
  <c r="G39" i="7"/>
  <c r="F46" i="7"/>
  <c r="F45" i="7"/>
  <c r="F44" i="7"/>
  <c r="F43" i="7"/>
  <c r="F42" i="7"/>
  <c r="F41" i="7"/>
  <c r="F40" i="7"/>
  <c r="F39" i="7"/>
  <c r="G12" i="7"/>
  <c r="H12" i="7" s="1"/>
  <c r="I12" i="7" s="1"/>
  <c r="J12" i="7" s="1"/>
  <c r="K12" i="7" s="1"/>
  <c r="L12" i="7" s="1"/>
  <c r="M12" i="7" s="1"/>
  <c r="N12" i="7" s="1"/>
  <c r="O12" i="7" s="1"/>
  <c r="G11" i="7"/>
  <c r="H11" i="7" s="1"/>
  <c r="I11" i="7" s="1"/>
  <c r="J11" i="7" s="1"/>
  <c r="K11" i="7" s="1"/>
  <c r="L11" i="7" s="1"/>
  <c r="M11" i="7" s="1"/>
  <c r="N11" i="7" s="1"/>
  <c r="O11" i="7" s="1"/>
  <c r="G10" i="7"/>
  <c r="H10" i="7" s="1"/>
  <c r="I10" i="7" s="1"/>
  <c r="J10" i="7" s="1"/>
  <c r="K10" i="7" s="1"/>
  <c r="L10" i="7" s="1"/>
  <c r="M10" i="7" s="1"/>
  <c r="N10" i="7" s="1"/>
  <c r="O10" i="7" s="1"/>
  <c r="G9" i="7"/>
  <c r="H9" i="7" s="1"/>
  <c r="I9" i="7" s="1"/>
  <c r="J9" i="7" s="1"/>
  <c r="K9" i="7" s="1"/>
  <c r="L9" i="7" s="1"/>
  <c r="M9" i="7" s="1"/>
  <c r="N9" i="7" s="1"/>
  <c r="O9" i="7" s="1"/>
  <c r="G8" i="7"/>
  <c r="H8" i="7" s="1"/>
  <c r="I8" i="7" s="1"/>
  <c r="J8" i="7" s="1"/>
  <c r="K8" i="7" s="1"/>
  <c r="L8" i="7" s="1"/>
  <c r="M8" i="7" s="1"/>
  <c r="N8" i="7" s="1"/>
  <c r="O8" i="7" s="1"/>
  <c r="G7" i="7"/>
  <c r="H7" i="7" s="1"/>
  <c r="I7" i="7" s="1"/>
  <c r="J7" i="7" s="1"/>
  <c r="K7" i="7" s="1"/>
  <c r="L7" i="7" s="1"/>
  <c r="M7" i="7" s="1"/>
  <c r="N7" i="7" s="1"/>
  <c r="O7" i="7" s="1"/>
  <c r="G6" i="7"/>
  <c r="H6" i="7" s="1"/>
  <c r="I6" i="7" s="1"/>
  <c r="J6" i="7" s="1"/>
  <c r="K6" i="7" s="1"/>
  <c r="L6" i="7" s="1"/>
  <c r="M6" i="7" s="1"/>
  <c r="N6" i="7" s="1"/>
  <c r="O6" i="7" s="1"/>
  <c r="G5" i="7"/>
  <c r="H5" i="7" s="1"/>
  <c r="I5" i="7" s="1"/>
  <c r="J5" i="7" s="1"/>
  <c r="K5" i="7" s="1"/>
  <c r="L5" i="7" s="1"/>
  <c r="M5" i="7" s="1"/>
  <c r="N5" i="7" s="1"/>
  <c r="O5" i="7" s="1"/>
  <c r="F12" i="7"/>
  <c r="F11" i="7"/>
  <c r="F10" i="7"/>
  <c r="F9" i="7"/>
  <c r="F8" i="7"/>
  <c r="F7" i="7"/>
  <c r="F6" i="7"/>
  <c r="F5" i="7"/>
  <c r="D90" i="13"/>
  <c r="C87" i="13"/>
  <c r="H18" i="12"/>
  <c r="D38" i="11"/>
  <c r="C35" i="11"/>
  <c r="D34" i="11"/>
  <c r="B34" i="11"/>
  <c r="D33" i="11"/>
  <c r="B33" i="11"/>
  <c r="C24" i="11"/>
  <c r="C23" i="11"/>
  <c r="B23" i="11"/>
  <c r="D18" i="11"/>
  <c r="C18" i="11"/>
  <c r="B19" i="11"/>
  <c r="B18" i="11"/>
  <c r="F15" i="11"/>
  <c r="F14" i="11"/>
  <c r="F13" i="11"/>
  <c r="F6" i="11"/>
  <c r="F10" i="11"/>
  <c r="F8" i="11"/>
  <c r="F7" i="11"/>
  <c r="C38" i="3"/>
  <c r="C6" i="3"/>
  <c r="G13" i="3"/>
  <c r="B13" i="3"/>
  <c r="O8" i="8"/>
  <c r="N8" i="8"/>
  <c r="M8" i="8"/>
  <c r="L8" i="8"/>
  <c r="K8" i="8"/>
  <c r="O7" i="8"/>
  <c r="N7" i="8"/>
  <c r="M7" i="8"/>
  <c r="L7" i="8"/>
  <c r="K7" i="8"/>
  <c r="O6" i="8"/>
  <c r="N6" i="8"/>
  <c r="M6" i="8"/>
  <c r="L6" i="8"/>
  <c r="K6" i="8"/>
  <c r="O15" i="6"/>
  <c r="O31" i="6" s="1"/>
  <c r="N15" i="6"/>
  <c r="N17" i="6" s="1"/>
  <c r="M15" i="6"/>
  <c r="M31" i="6" s="1"/>
  <c r="L15" i="6"/>
  <c r="L17" i="6" s="1"/>
  <c r="K15" i="6"/>
  <c r="K17" i="6" s="1"/>
  <c r="O31" i="9"/>
  <c r="N31" i="9"/>
  <c r="M31" i="9"/>
  <c r="L31" i="9"/>
  <c r="K31" i="9"/>
  <c r="O21" i="9"/>
  <c r="O22" i="9" s="1"/>
  <c r="N21" i="9"/>
  <c r="N22" i="9" s="1"/>
  <c r="M21" i="9"/>
  <c r="M22" i="9" s="1"/>
  <c r="L21" i="9"/>
  <c r="L22" i="9" s="1"/>
  <c r="K21" i="9"/>
  <c r="K22" i="9" s="1"/>
  <c r="O19" i="9"/>
  <c r="N19" i="9"/>
  <c r="O16" i="9" s="1"/>
  <c r="M19" i="9"/>
  <c r="L19" i="9"/>
  <c r="K19" i="9"/>
  <c r="L16" i="9" s="1"/>
  <c r="N16" i="9"/>
  <c r="M16" i="9"/>
  <c r="K16" i="9"/>
  <c r="O11" i="9"/>
  <c r="N11" i="9"/>
  <c r="M11" i="9"/>
  <c r="L11" i="9"/>
  <c r="K11" i="9"/>
  <c r="O13" i="3"/>
  <c r="N13" i="3"/>
  <c r="M13" i="3"/>
  <c r="L13" i="3"/>
  <c r="K13" i="3"/>
  <c r="E13" i="3"/>
  <c r="D13" i="3"/>
  <c r="E8" i="8"/>
  <c r="D8" i="8"/>
  <c r="C8" i="8"/>
  <c r="B8" i="8"/>
  <c r="E15" i="8"/>
  <c r="D15" i="8"/>
  <c r="C15" i="8"/>
  <c r="B15" i="8"/>
  <c r="E44" i="5"/>
  <c r="B8" i="13" s="1"/>
  <c r="B35" i="3"/>
  <c r="O38" i="3" s="1"/>
  <c r="F13" i="3"/>
  <c r="B47" i="7"/>
  <c r="C47" i="7"/>
  <c r="D47" i="7"/>
  <c r="E47" i="7"/>
  <c r="M47" i="7" l="1"/>
  <c r="K47" i="7"/>
  <c r="L31" i="6"/>
  <c r="N10" i="8"/>
  <c r="K31" i="6"/>
  <c r="K10" i="8"/>
  <c r="O17" i="6"/>
  <c r="N31" i="6"/>
  <c r="M17" i="6"/>
  <c r="K38" i="3"/>
  <c r="L38" i="3"/>
  <c r="M38" i="3"/>
  <c r="M10" i="8"/>
  <c r="N38" i="3"/>
  <c r="L10" i="8"/>
  <c r="O10" i="8"/>
  <c r="B38" i="3"/>
  <c r="F21" i="9"/>
  <c r="G21" i="9"/>
  <c r="H21" i="9"/>
  <c r="I21" i="9"/>
  <c r="J21" i="9"/>
  <c r="F11" i="9"/>
  <c r="G11" i="9"/>
  <c r="H11" i="9"/>
  <c r="I11" i="9"/>
  <c r="J11" i="9"/>
  <c r="I38" i="3"/>
  <c r="H38" i="3"/>
  <c r="G38" i="3"/>
  <c r="F38" i="3"/>
  <c r="B39" i="3"/>
  <c r="J13" i="3"/>
  <c r="O47" i="7" l="1"/>
  <c r="N47" i="7"/>
  <c r="L47" i="7"/>
  <c r="J38" i="3"/>
  <c r="E27" i="3"/>
  <c r="D27" i="3"/>
  <c r="C27" i="3"/>
  <c r="B27" i="3"/>
  <c r="C13" i="3"/>
  <c r="I13" i="3"/>
  <c r="H13" i="3"/>
  <c r="B30" i="8"/>
  <c r="C30" i="8"/>
  <c r="D30" i="8"/>
  <c r="E30" i="8"/>
  <c r="J8" i="8"/>
  <c r="I8" i="8"/>
  <c r="H8" i="8"/>
  <c r="G8" i="8"/>
  <c r="F8" i="8"/>
  <c r="J7" i="8"/>
  <c r="I7" i="8"/>
  <c r="H7" i="8"/>
  <c r="G7" i="8"/>
  <c r="F7" i="8"/>
  <c r="J6" i="8"/>
  <c r="I6" i="8"/>
  <c r="H6" i="8"/>
  <c r="G6" i="8"/>
  <c r="F6" i="8"/>
  <c r="H19" i="11"/>
  <c r="G19" i="11"/>
  <c r="B24" i="11" s="1"/>
  <c r="F19" i="11"/>
  <c r="B26" i="11" s="1"/>
  <c r="E19" i="11"/>
  <c r="D19" i="11"/>
  <c r="C19" i="11"/>
  <c r="H18" i="11"/>
  <c r="G18" i="11"/>
  <c r="F18" i="11"/>
  <c r="B25" i="11" s="1"/>
  <c r="D25" i="11" s="1"/>
  <c r="E18" i="11"/>
  <c r="B31" i="9"/>
  <c r="C31" i="9"/>
  <c r="D31" i="9"/>
  <c r="E31" i="9"/>
  <c r="F31" i="9"/>
  <c r="G31" i="9"/>
  <c r="H31" i="9"/>
  <c r="I31" i="9"/>
  <c r="J31" i="9"/>
  <c r="B27" i="9"/>
  <c r="C27" i="9"/>
  <c r="D27" i="9"/>
  <c r="E27" i="9"/>
  <c r="B23" i="9"/>
  <c r="C23" i="9"/>
  <c r="D23" i="9"/>
  <c r="E23" i="9"/>
  <c r="B19" i="9"/>
  <c r="C16" i="9" s="1"/>
  <c r="B13" i="9"/>
  <c r="C13" i="9"/>
  <c r="D13" i="9"/>
  <c r="E13" i="9"/>
  <c r="B9" i="9"/>
  <c r="B12" i="9" s="1"/>
  <c r="B29" i="8"/>
  <c r="C29" i="8"/>
  <c r="D29" i="8"/>
  <c r="E29" i="8"/>
  <c r="B28" i="8"/>
  <c r="C28" i="8"/>
  <c r="D28" i="8"/>
  <c r="E28" i="8"/>
  <c r="B14" i="8"/>
  <c r="C14" i="8"/>
  <c r="D14" i="8"/>
  <c r="E14" i="8"/>
  <c r="B13" i="8"/>
  <c r="C13" i="8"/>
  <c r="D13" i="8"/>
  <c r="E13" i="8"/>
  <c r="E36" i="7"/>
  <c r="D36" i="7"/>
  <c r="C36" i="7"/>
  <c r="E35" i="7"/>
  <c r="D35" i="7"/>
  <c r="C35" i="7"/>
  <c r="E34" i="7"/>
  <c r="D34" i="7"/>
  <c r="C34" i="7"/>
  <c r="E33" i="7"/>
  <c r="D33" i="7"/>
  <c r="C33" i="7"/>
  <c r="E32" i="7"/>
  <c r="D32" i="7"/>
  <c r="C32" i="7"/>
  <c r="E31" i="7"/>
  <c r="D31" i="7"/>
  <c r="C31" i="7"/>
  <c r="E30" i="7"/>
  <c r="D30" i="7"/>
  <c r="C30" i="7"/>
  <c r="E29" i="7"/>
  <c r="D29" i="7"/>
  <c r="C29" i="7"/>
  <c r="B14" i="7"/>
  <c r="B45" i="7" s="1"/>
  <c r="C14" i="7"/>
  <c r="C43" i="7" s="1"/>
  <c r="D14" i="7"/>
  <c r="D43" i="7" s="1"/>
  <c r="E14" i="7"/>
  <c r="E39" i="7" s="1"/>
  <c r="B79" i="13"/>
  <c r="B6" i="13"/>
  <c r="B5" i="13"/>
  <c r="B30" i="10"/>
  <c r="B7" i="10"/>
  <c r="B6" i="10"/>
  <c r="B5" i="10"/>
  <c r="B32" i="6"/>
  <c r="C32" i="6"/>
  <c r="D32" i="6"/>
  <c r="E32" i="6"/>
  <c r="B15" i="6"/>
  <c r="B31" i="6" s="1"/>
  <c r="C15" i="6"/>
  <c r="C31" i="6" s="1"/>
  <c r="D15" i="6"/>
  <c r="D31" i="6" s="1"/>
  <c r="E15" i="6"/>
  <c r="E31" i="6" s="1"/>
  <c r="F15" i="6"/>
  <c r="F31" i="6" s="1"/>
  <c r="G15" i="6"/>
  <c r="G31" i="6" s="1"/>
  <c r="H15" i="6"/>
  <c r="H31" i="6" s="1"/>
  <c r="I15" i="6"/>
  <c r="I31" i="6" s="1"/>
  <c r="J15" i="6"/>
  <c r="J17" i="6" s="1"/>
  <c r="B6" i="6"/>
  <c r="B30" i="6" s="1"/>
  <c r="C6" i="6"/>
  <c r="C30" i="6" s="1"/>
  <c r="D6" i="6"/>
  <c r="D30" i="6" s="1"/>
  <c r="E6" i="6"/>
  <c r="E30" i="6" s="1"/>
  <c r="B44" i="5"/>
  <c r="C44" i="5"/>
  <c r="D44" i="5"/>
  <c r="B8" i="10"/>
  <c r="B26" i="10" s="1"/>
  <c r="B35" i="5"/>
  <c r="C35" i="5"/>
  <c r="D35" i="5"/>
  <c r="E35" i="5"/>
  <c r="B29" i="5"/>
  <c r="C29" i="5"/>
  <c r="D29" i="5"/>
  <c r="E29" i="5"/>
  <c r="B24" i="5"/>
  <c r="B42" i="5" s="1"/>
  <c r="C24" i="5"/>
  <c r="C42" i="5" s="1"/>
  <c r="D24" i="5"/>
  <c r="D42" i="5" s="1"/>
  <c r="E24" i="5"/>
  <c r="E42" i="5" s="1"/>
  <c r="B16" i="5"/>
  <c r="C16" i="5"/>
  <c r="D16" i="5"/>
  <c r="E16" i="5"/>
  <c r="B9" i="5"/>
  <c r="C9" i="5"/>
  <c r="D9" i="5"/>
  <c r="E9" i="5"/>
  <c r="B6" i="8"/>
  <c r="C4" i="4"/>
  <c r="C6" i="8" s="1"/>
  <c r="D4" i="4"/>
  <c r="D8" i="4" s="1"/>
  <c r="D14" i="4" s="1"/>
  <c r="D18" i="4" s="1"/>
  <c r="E4" i="4"/>
  <c r="E7" i="8" s="1"/>
  <c r="K14" i="10" l="1"/>
  <c r="J14" i="10"/>
  <c r="I14" i="10"/>
  <c r="H14" i="10"/>
  <c r="G14" i="10"/>
  <c r="C14" i="10"/>
  <c r="B14" i="10"/>
  <c r="C7" i="8"/>
  <c r="C10" i="8" s="1"/>
  <c r="B7" i="8"/>
  <c r="B10" i="8" s="1"/>
  <c r="H10" i="8"/>
  <c r="I10" i="8"/>
  <c r="F10" i="8"/>
  <c r="D7" i="8"/>
  <c r="G10" i="8"/>
  <c r="E22" i="8"/>
  <c r="C17" i="8"/>
  <c r="C31" i="8" s="1"/>
  <c r="J10" i="8"/>
  <c r="C24" i="8"/>
  <c r="B42" i="7"/>
  <c r="E42" i="7"/>
  <c r="B43" i="7"/>
  <c r="B22" i="8"/>
  <c r="E43" i="7"/>
  <c r="D23" i="8"/>
  <c r="B39" i="7"/>
  <c r="C23" i="8"/>
  <c r="D22" i="8"/>
  <c r="D39" i="7"/>
  <c r="E44" i="7"/>
  <c r="B23" i="8"/>
  <c r="D24" i="8"/>
  <c r="C6" i="9"/>
  <c r="C9" i="9" s="1"/>
  <c r="D40" i="7"/>
  <c r="C45" i="7"/>
  <c r="B24" i="8"/>
  <c r="C22" i="8"/>
  <c r="B41" i="7"/>
  <c r="C46" i="7"/>
  <c r="E24" i="8"/>
  <c r="E41" i="7"/>
  <c r="E46" i="7"/>
  <c r="C19" i="9"/>
  <c r="D16" i="9" s="1"/>
  <c r="C22" i="9"/>
  <c r="E23" i="8"/>
  <c r="D45" i="7"/>
  <c r="E6" i="8"/>
  <c r="B40" i="7"/>
  <c r="E45" i="7"/>
  <c r="D6" i="8"/>
  <c r="H17" i="6"/>
  <c r="C40" i="7"/>
  <c r="E15" i="7"/>
  <c r="E40" i="7"/>
  <c r="C42" i="7"/>
  <c r="D15" i="7"/>
  <c r="D42" i="7"/>
  <c r="B44" i="7"/>
  <c r="E17" i="8"/>
  <c r="B22" i="9"/>
  <c r="B30" i="9" s="1"/>
  <c r="C15" i="7"/>
  <c r="C44" i="7"/>
  <c r="D17" i="8"/>
  <c r="B15" i="7"/>
  <c r="D44" i="7"/>
  <c r="B46" i="7"/>
  <c r="B26" i="9"/>
  <c r="B34" i="9" s="1"/>
  <c r="B17" i="8"/>
  <c r="C39" i="7"/>
  <c r="D46" i="7"/>
  <c r="C41" i="7"/>
  <c r="D41" i="7"/>
  <c r="G17" i="6"/>
  <c r="B7" i="13"/>
  <c r="F14" i="10"/>
  <c r="E14" i="10"/>
  <c r="D14" i="10"/>
  <c r="I17" i="6"/>
  <c r="F17" i="6"/>
  <c r="E17" i="6"/>
  <c r="C17" i="6"/>
  <c r="B17" i="6"/>
  <c r="D17" i="6"/>
  <c r="D23" i="4"/>
  <c r="D24" i="4" s="1"/>
  <c r="D26" i="4" s="1"/>
  <c r="D29" i="6"/>
  <c r="D34" i="6" s="1"/>
  <c r="J31" i="6"/>
  <c r="C18" i="5"/>
  <c r="B18" i="5"/>
  <c r="D37" i="5"/>
  <c r="E18" i="5"/>
  <c r="D18" i="5"/>
  <c r="D5" i="4"/>
  <c r="E37" i="5"/>
  <c r="C37" i="5"/>
  <c r="B37" i="5"/>
  <c r="C8" i="4"/>
  <c r="C14" i="4" s="1"/>
  <c r="D9" i="4"/>
  <c r="E8" i="4"/>
  <c r="E14" i="4" s="1"/>
  <c r="E5" i="4"/>
  <c r="C5" i="4"/>
  <c r="B8" i="4"/>
  <c r="B14" i="4" s="1"/>
  <c r="D15" i="4"/>
  <c r="J47" i="7" l="1"/>
  <c r="I47" i="7"/>
  <c r="H47" i="7"/>
  <c r="G47" i="7"/>
  <c r="F47" i="7"/>
  <c r="D10" i="8"/>
  <c r="C25" i="8"/>
  <c r="C19" i="8"/>
  <c r="E10" i="8"/>
  <c r="C9" i="4"/>
  <c r="C26" i="9"/>
  <c r="C28" i="9" s="1"/>
  <c r="C38" i="9" s="1"/>
  <c r="B36" i="9"/>
  <c r="B9" i="13"/>
  <c r="D6" i="9"/>
  <c r="D9" i="9" s="1"/>
  <c r="D12" i="9" s="1"/>
  <c r="C12" i="9"/>
  <c r="C30" i="9" s="1"/>
  <c r="C36" i="9" s="1"/>
  <c r="D39" i="5"/>
  <c r="D31" i="8"/>
  <c r="D25" i="8"/>
  <c r="D19" i="8"/>
  <c r="E19" i="8"/>
  <c r="E31" i="8"/>
  <c r="E25" i="8"/>
  <c r="E18" i="4"/>
  <c r="E23" i="4" s="1"/>
  <c r="E24" i="4" s="1"/>
  <c r="E26" i="4" s="1"/>
  <c r="B18" i="4"/>
  <c r="B23" i="4" s="1"/>
  <c r="B24" i="4" s="1"/>
  <c r="B26" i="4" s="1"/>
  <c r="B31" i="8"/>
  <c r="B25" i="8"/>
  <c r="B37" i="9"/>
  <c r="B28" i="9"/>
  <c r="B38" i="9" s="1"/>
  <c r="D19" i="9"/>
  <c r="E16" i="9" s="1"/>
  <c r="C15" i="4"/>
  <c r="B39" i="5"/>
  <c r="E39" i="5"/>
  <c r="C39" i="5"/>
  <c r="D43" i="5"/>
  <c r="D5" i="6"/>
  <c r="D12" i="6" s="1"/>
  <c r="C18" i="4"/>
  <c r="B9" i="4"/>
  <c r="B15" i="4"/>
  <c r="D27" i="4"/>
  <c r="D29" i="4"/>
  <c r="D30" i="4" s="1"/>
  <c r="D22" i="6" s="1"/>
  <c r="D23" i="6" s="1"/>
  <c r="E15" i="4"/>
  <c r="E9" i="4"/>
  <c r="E29" i="6" l="1"/>
  <c r="E34" i="6" s="1"/>
  <c r="C34" i="9"/>
  <c r="C37" i="9"/>
  <c r="B29" i="6"/>
  <c r="B34" i="6" s="1"/>
  <c r="D22" i="9"/>
  <c r="D30" i="9" s="1"/>
  <c r="D36" i="9" s="1"/>
  <c r="E6" i="9"/>
  <c r="D26" i="9"/>
  <c r="B35" i="9"/>
  <c r="C35" i="9"/>
  <c r="E19" i="9"/>
  <c r="F16" i="9" s="1"/>
  <c r="E43" i="5"/>
  <c r="E5" i="6"/>
  <c r="E12" i="6" s="1"/>
  <c r="D25" i="6"/>
  <c r="B43" i="5"/>
  <c r="B5" i="6"/>
  <c r="B12" i="6" s="1"/>
  <c r="C23" i="4"/>
  <c r="C24" i="4" s="1"/>
  <c r="C26" i="4" s="1"/>
  <c r="C27" i="4" s="1"/>
  <c r="C29" i="6"/>
  <c r="C34" i="6" s="1"/>
  <c r="B29" i="4"/>
  <c r="B30" i="4" s="1"/>
  <c r="B22" i="6" s="1"/>
  <c r="B23" i="6" s="1"/>
  <c r="B27" i="4"/>
  <c r="E29" i="4"/>
  <c r="E27" i="4"/>
  <c r="E30" i="4" l="1"/>
  <c r="E22" i="6" s="1"/>
  <c r="E23" i="6" s="1"/>
  <c r="E25" i="6" s="1"/>
  <c r="D26" i="11"/>
  <c r="D37" i="9"/>
  <c r="D28" i="9"/>
  <c r="D34" i="9"/>
  <c r="E22" i="9"/>
  <c r="F19" i="9"/>
  <c r="G16" i="9" s="1"/>
  <c r="E9" i="9"/>
  <c r="C29" i="4"/>
  <c r="C30" i="4" s="1"/>
  <c r="C22" i="6" s="1"/>
  <c r="C23" i="6" s="1"/>
  <c r="B25" i="6"/>
  <c r="C43" i="5"/>
  <c r="C5" i="6"/>
  <c r="C12" i="6" s="1"/>
  <c r="F22" i="9" l="1"/>
  <c r="G19" i="9"/>
  <c r="H16" i="9" s="1"/>
  <c r="D38" i="9"/>
  <c r="D35" i="9"/>
  <c r="E26" i="9"/>
  <c r="F6" i="9"/>
  <c r="E12" i="9"/>
  <c r="E30" i="9" s="1"/>
  <c r="E36" i="9" s="1"/>
  <c r="C25" i="6"/>
  <c r="G22" i="9" l="1"/>
  <c r="E37" i="9"/>
  <c r="E28" i="9"/>
  <c r="E34" i="9"/>
  <c r="F9" i="9"/>
  <c r="H19" i="9"/>
  <c r="I16" i="9" s="1"/>
  <c r="F12" i="9" l="1"/>
  <c r="F30" i="9" s="1"/>
  <c r="F27" i="5"/>
  <c r="H22" i="9"/>
  <c r="I19" i="9"/>
  <c r="J16" i="9" s="1"/>
  <c r="G6" i="9"/>
  <c r="E38" i="9"/>
  <c r="E35" i="9"/>
  <c r="D74" i="13"/>
  <c r="B74" i="13"/>
  <c r="F13" i="9" l="1"/>
  <c r="F29" i="5"/>
  <c r="I22" i="9"/>
  <c r="G9" i="9"/>
  <c r="G27" i="5" s="1"/>
  <c r="J19" i="9"/>
  <c r="J22" i="9" s="1"/>
  <c r="G29" i="5" l="1"/>
  <c r="G13" i="9"/>
  <c r="H6" i="9"/>
  <c r="G12" i="9"/>
  <c r="G30" i="9" s="1"/>
  <c r="H9" i="9" l="1"/>
  <c r="H27" i="5" s="1"/>
  <c r="H29" i="5" l="1"/>
  <c r="H13" i="9"/>
  <c r="I6" i="9"/>
  <c r="H12" i="9"/>
  <c r="H30" i="9" s="1"/>
  <c r="I9" i="9" l="1"/>
  <c r="I27" i="5" l="1"/>
  <c r="J6" i="9"/>
  <c r="I12" i="9"/>
  <c r="I30" i="9" s="1"/>
  <c r="I13" i="9" l="1"/>
  <c r="I29" i="5"/>
  <c r="J9" i="9"/>
  <c r="J27" i="5" l="1"/>
  <c r="K6" i="9"/>
  <c r="J12" i="9"/>
  <c r="J30" i="9" s="1"/>
  <c r="K9" i="9" l="1"/>
  <c r="J13" i="9"/>
  <c r="J29" i="5"/>
  <c r="K27" i="5" l="1"/>
  <c r="L6" i="9"/>
  <c r="K12" i="9"/>
  <c r="K30" i="9" s="1"/>
  <c r="L9" i="9" l="1"/>
  <c r="L12" i="9"/>
  <c r="L30" i="9" s="1"/>
  <c r="K29" i="5"/>
  <c r="K13" i="9"/>
  <c r="L27" i="5" l="1"/>
  <c r="M6" i="9"/>
  <c r="M9" i="9" l="1"/>
  <c r="M12" i="9" s="1"/>
  <c r="M30" i="9" s="1"/>
  <c r="L29" i="5"/>
  <c r="L13" i="9"/>
  <c r="N6" i="9" l="1"/>
  <c r="M27" i="5"/>
  <c r="M29" i="5" l="1"/>
  <c r="M13" i="9"/>
  <c r="N9" i="9"/>
  <c r="N12" i="9" s="1"/>
  <c r="N30" i="9" s="1"/>
  <c r="N27" i="5" l="1"/>
  <c r="O6" i="9"/>
  <c r="O9" i="9" l="1"/>
  <c r="O12" i="9"/>
  <c r="O30" i="9" s="1"/>
  <c r="N13" i="9"/>
  <c r="N29" i="5"/>
  <c r="O27" i="5" l="1"/>
  <c r="O13" i="9" l="1"/>
  <c r="O29" i="5"/>
  <c r="F27" i="3" l="1"/>
  <c r="F13" i="5" l="1"/>
  <c r="F14" i="8"/>
  <c r="F23" i="8" s="1"/>
  <c r="F7" i="4"/>
  <c r="F8" i="4" s="1"/>
  <c r="F5" i="4"/>
  <c r="F12" i="4"/>
  <c r="F11" i="4"/>
  <c r="C23" i="12"/>
  <c r="C24" i="12" s="1"/>
  <c r="B23" i="12"/>
  <c r="B24" i="12" s="1"/>
  <c r="F12" i="5"/>
  <c r="F13" i="8"/>
  <c r="F17" i="4"/>
  <c r="B13" i="13"/>
  <c r="D23" i="12"/>
  <c r="D24" i="12" s="1"/>
  <c r="F14" i="4" l="1"/>
  <c r="F9" i="4"/>
  <c r="F14" i="7"/>
  <c r="F6" i="6"/>
  <c r="F30" i="6" s="1"/>
  <c r="F29" i="8"/>
  <c r="F7" i="6"/>
  <c r="F32" i="5"/>
  <c r="F15" i="8"/>
  <c r="F24" i="8" s="1"/>
  <c r="F22" i="8"/>
  <c r="F8" i="6"/>
  <c r="F28" i="8"/>
  <c r="F17" i="8" l="1"/>
  <c r="F23" i="9"/>
  <c r="F9" i="6"/>
  <c r="F32" i="6" s="1"/>
  <c r="F30" i="8"/>
  <c r="F9" i="5"/>
  <c r="F18" i="4"/>
  <c r="B12" i="13"/>
  <c r="F36" i="9"/>
  <c r="F15" i="4"/>
  <c r="F29" i="6" l="1"/>
  <c r="F34" i="6" s="1"/>
  <c r="B12" i="10" s="1"/>
  <c r="B15" i="10" s="1"/>
  <c r="F23" i="4"/>
  <c r="F19" i="8"/>
  <c r="F31" i="8"/>
  <c r="F25" i="8"/>
  <c r="F24" i="4" l="1"/>
  <c r="F26" i="4" s="1"/>
  <c r="F5" i="6" l="1"/>
  <c r="F29" i="4"/>
  <c r="F27" i="4"/>
  <c r="B11" i="13" l="1"/>
  <c r="D11" i="13" s="1"/>
  <c r="B77" i="13"/>
  <c r="F30" i="4"/>
  <c r="D77" i="13"/>
  <c r="C77" i="13"/>
  <c r="F22" i="6" l="1"/>
  <c r="F23" i="5"/>
  <c r="F24" i="5" l="1"/>
  <c r="F43" i="5" l="1"/>
  <c r="F14" i="5"/>
  <c r="F42" i="5"/>
  <c r="F33" i="5"/>
  <c r="F27" i="9" l="1"/>
  <c r="F16" i="5"/>
  <c r="F18" i="5" s="1"/>
  <c r="F20" i="6"/>
  <c r="F23" i="6" s="1"/>
  <c r="F10" i="6" s="1"/>
  <c r="F12" i="6" s="1"/>
  <c r="F25" i="6" s="1"/>
  <c r="F26" i="9"/>
  <c r="F44" i="5"/>
  <c r="F35" i="5"/>
  <c r="F37" i="5" s="1"/>
  <c r="F28" i="9" l="1"/>
  <c r="F37" i="9"/>
  <c r="F34" i="9"/>
  <c r="F39" i="5"/>
  <c r="D24" i="11"/>
  <c r="D23" i="11"/>
  <c r="B25" i="12"/>
  <c r="C25" i="12"/>
  <c r="D25" i="12"/>
  <c r="B76" i="13" l="1"/>
  <c r="B29" i="12"/>
  <c r="D29" i="12" s="1"/>
  <c r="C76" i="13"/>
  <c r="B30" i="12"/>
  <c r="D30" i="12" s="1"/>
  <c r="C75" i="13"/>
  <c r="B75" i="13"/>
  <c r="B31" i="11"/>
  <c r="D31" i="11" s="1"/>
  <c r="B31" i="12"/>
  <c r="D31" i="12" s="1"/>
  <c r="D76" i="13"/>
  <c r="D75" i="13"/>
  <c r="B32" i="11"/>
  <c r="D32" i="11" s="1"/>
  <c r="F38" i="9"/>
  <c r="F35" i="9"/>
  <c r="D36" i="11" l="1"/>
  <c r="D32" i="12"/>
  <c r="B86" i="13" l="1"/>
  <c r="D86" i="13" s="1"/>
  <c r="D33" i="12"/>
  <c r="D39" i="11"/>
  <c r="B85" i="13"/>
  <c r="D85" i="13" s="1"/>
  <c r="G27" i="3"/>
  <c r="G13" i="5" l="1"/>
  <c r="G7" i="4"/>
  <c r="G12" i="4"/>
  <c r="G11" i="4"/>
  <c r="G5" i="4"/>
  <c r="G17" i="4"/>
  <c r="G13" i="8"/>
  <c r="G12" i="5"/>
  <c r="G14" i="8"/>
  <c r="G23" i="8" s="1"/>
  <c r="G15" i="8" l="1"/>
  <c r="G24" i="8" s="1"/>
  <c r="G32" i="5"/>
  <c r="G7" i="6"/>
  <c r="G29" i="8"/>
  <c r="G8" i="4"/>
  <c r="G22" i="8"/>
  <c r="G28" i="8"/>
  <c r="G8" i="6"/>
  <c r="G14" i="7"/>
  <c r="G6" i="6"/>
  <c r="G30" i="6" s="1"/>
  <c r="G6" i="5"/>
  <c r="G14" i="4" l="1"/>
  <c r="G9" i="4"/>
  <c r="G9" i="6"/>
  <c r="G32" i="6" s="1"/>
  <c r="G23" i="9"/>
  <c r="G30" i="8"/>
  <c r="G9" i="5"/>
  <c r="G17" i="8"/>
  <c r="G19" i="8" l="1"/>
  <c r="G25" i="8"/>
  <c r="G31" i="8"/>
  <c r="G36" i="9"/>
  <c r="G18" i="4"/>
  <c r="G15" i="4"/>
  <c r="G23" i="4" l="1"/>
  <c r="G29" i="6"/>
  <c r="G34" i="6" s="1"/>
  <c r="C12" i="10" s="1"/>
  <c r="C15" i="10" s="1"/>
  <c r="G24" i="4" l="1"/>
  <c r="G26" i="4" s="1"/>
  <c r="G29" i="4" l="1"/>
  <c r="G30" i="4" s="1"/>
  <c r="G5" i="6"/>
  <c r="G27" i="4"/>
  <c r="G22" i="6" l="1"/>
  <c r="G23" i="5"/>
  <c r="G24" i="5" l="1"/>
  <c r="G14" i="5" l="1"/>
  <c r="G42" i="5"/>
  <c r="G43" i="5"/>
  <c r="G33" i="5"/>
  <c r="G20" i="6" l="1"/>
  <c r="G23" i="6" s="1"/>
  <c r="G10" i="6" s="1"/>
  <c r="G12" i="6" s="1"/>
  <c r="G25" i="6" s="1"/>
  <c r="G26" i="9"/>
  <c r="G44" i="5"/>
  <c r="G35" i="5"/>
  <c r="G37" i="5" s="1"/>
  <c r="G27" i="9"/>
  <c r="G16" i="5"/>
  <c r="G18" i="5" s="1"/>
  <c r="G39" i="5" l="1"/>
  <c r="G28" i="9"/>
  <c r="G37" i="9"/>
  <c r="G34" i="9"/>
  <c r="G38" i="9" l="1"/>
  <c r="G35" i="9"/>
  <c r="H27" i="3"/>
  <c r="H12" i="5" l="1"/>
  <c r="H14" i="8"/>
  <c r="H23" i="8" s="1"/>
  <c r="H13" i="5"/>
  <c r="H7" i="4"/>
  <c r="H12" i="4"/>
  <c r="H11" i="4"/>
  <c r="H8" i="4"/>
  <c r="H5" i="4"/>
  <c r="H17" i="4"/>
  <c r="H13" i="8"/>
  <c r="H14" i="4" l="1"/>
  <c r="H15" i="4" s="1"/>
  <c r="H8" i="6"/>
  <c r="H28" i="8"/>
  <c r="H29" i="8"/>
  <c r="H7" i="6"/>
  <c r="H36" i="9"/>
  <c r="H18" i="4"/>
  <c r="H32" i="5"/>
  <c r="H15" i="8"/>
  <c r="H24" i="8" s="1"/>
  <c r="H22" i="8"/>
  <c r="H17" i="8"/>
  <c r="H6" i="6"/>
  <c r="H30" i="6" s="1"/>
  <c r="H6" i="5"/>
  <c r="H14" i="7"/>
  <c r="H9" i="4"/>
  <c r="H29" i="6" l="1"/>
  <c r="H23" i="4"/>
  <c r="H9" i="5"/>
  <c r="H19" i="8"/>
  <c r="H25" i="8"/>
  <c r="H23" i="9"/>
  <c r="H30" i="8"/>
  <c r="H31" i="8" s="1"/>
  <c r="H9" i="6"/>
  <c r="H32" i="6" s="1"/>
  <c r="H34" i="6" l="1"/>
  <c r="D12" i="10" s="1"/>
  <c r="D15" i="10" s="1"/>
  <c r="H24" i="4"/>
  <c r="H26" i="4" s="1"/>
  <c r="H29" i="4" l="1"/>
  <c r="H30" i="4" s="1"/>
  <c r="H23" i="5"/>
  <c r="H5" i="6"/>
  <c r="H27" i="4"/>
  <c r="H24" i="5" l="1"/>
  <c r="H22" i="6"/>
  <c r="H42" i="5" l="1"/>
  <c r="H43" i="5"/>
  <c r="H14" i="5"/>
  <c r="H33" i="5"/>
  <c r="H26" i="9" l="1"/>
  <c r="H44" i="5"/>
  <c r="H20" i="6"/>
  <c r="H23" i="6" s="1"/>
  <c r="H10" i="6" s="1"/>
  <c r="H12" i="6" s="1"/>
  <c r="H25" i="6" s="1"/>
  <c r="H35" i="5"/>
  <c r="H37" i="5" s="1"/>
  <c r="H27" i="9"/>
  <c r="H16" i="5"/>
  <c r="H18" i="5" s="1"/>
  <c r="H39" i="5" s="1"/>
  <c r="H28" i="9" l="1"/>
  <c r="H37" i="9"/>
  <c r="H34" i="9"/>
  <c r="H38" i="9" l="1"/>
  <c r="H35" i="9"/>
  <c r="I27" i="3"/>
  <c r="I12" i="4" l="1"/>
  <c r="I12" i="5"/>
  <c r="I14" i="8"/>
  <c r="I23" i="8" s="1"/>
  <c r="I14" i="7"/>
  <c r="I7" i="4"/>
  <c r="I13" i="5"/>
  <c r="I11" i="4"/>
  <c r="I5" i="4"/>
  <c r="I13" i="8"/>
  <c r="I17" i="4"/>
  <c r="I32" i="5" l="1"/>
  <c r="I15" i="8"/>
  <c r="I24" i="8" s="1"/>
  <c r="I8" i="4"/>
  <c r="I29" i="8"/>
  <c r="I7" i="6"/>
  <c r="I28" i="8"/>
  <c r="I8" i="6"/>
  <c r="I6" i="6"/>
  <c r="I30" i="6" s="1"/>
  <c r="I6" i="5"/>
  <c r="I22" i="8"/>
  <c r="I17" i="8"/>
  <c r="I14" i="4" l="1"/>
  <c r="I9" i="4"/>
  <c r="I19" i="8"/>
  <c r="I25" i="8"/>
  <c r="I9" i="5"/>
  <c r="I23" i="9"/>
  <c r="I9" i="6"/>
  <c r="I32" i="6" s="1"/>
  <c r="I30" i="8"/>
  <c r="I31" i="8" s="1"/>
  <c r="I18" i="4" l="1"/>
  <c r="I36" i="9"/>
  <c r="I15" i="4"/>
  <c r="I29" i="6" l="1"/>
  <c r="I34" i="6" s="1"/>
  <c r="E12" i="10" s="1"/>
  <c r="E15" i="10" s="1"/>
  <c r="I23" i="4"/>
  <c r="I24" i="4" l="1"/>
  <c r="I26" i="4" s="1"/>
  <c r="I5" i="6" l="1"/>
  <c r="I29" i="4"/>
  <c r="I30" i="4" s="1"/>
  <c r="I27" i="4"/>
  <c r="I22" i="6" l="1"/>
  <c r="I23" i="5"/>
  <c r="I24" i="5" l="1"/>
  <c r="I14" i="5" l="1"/>
  <c r="I42" i="5"/>
  <c r="I43" i="5"/>
  <c r="I33" i="5"/>
  <c r="I20" i="6" l="1"/>
  <c r="I23" i="6" s="1"/>
  <c r="I26" i="9"/>
  <c r="I44" i="5"/>
  <c r="I35" i="5"/>
  <c r="I37" i="5" s="1"/>
  <c r="I27" i="9"/>
  <c r="I10" i="6"/>
  <c r="I12" i="6" s="1"/>
  <c r="I25" i="6" s="1"/>
  <c r="I16" i="5"/>
  <c r="I18" i="5" s="1"/>
  <c r="I39" i="5" s="1"/>
  <c r="I37" i="9" l="1"/>
  <c r="I28" i="9"/>
  <c r="I34" i="9"/>
  <c r="I38" i="9" l="1"/>
  <c r="I35" i="9"/>
  <c r="J27" i="3"/>
  <c r="J12" i="5" l="1"/>
  <c r="J11" i="4"/>
  <c r="J14" i="8"/>
  <c r="J23" i="8" s="1"/>
  <c r="J13" i="5"/>
  <c r="J5" i="4"/>
  <c r="J12" i="4"/>
  <c r="J17" i="4"/>
  <c r="J7" i="4"/>
  <c r="J8" i="4" s="1"/>
  <c r="J13" i="8"/>
  <c r="J14" i="4" l="1"/>
  <c r="J9" i="4"/>
  <c r="J22" i="8"/>
  <c r="J6" i="5"/>
  <c r="J6" i="6"/>
  <c r="J30" i="6" s="1"/>
  <c r="J8" i="6"/>
  <c r="J28" i="8"/>
  <c r="J32" i="5"/>
  <c r="J15" i="8"/>
  <c r="J24" i="8" s="1"/>
  <c r="J14" i="7"/>
  <c r="J29" i="8"/>
  <c r="J7" i="6"/>
  <c r="J36" i="9" l="1"/>
  <c r="J18" i="4"/>
  <c r="J15" i="4"/>
  <c r="J30" i="8"/>
  <c r="J9" i="6"/>
  <c r="J32" i="6" s="1"/>
  <c r="J23" i="9"/>
  <c r="J9" i="5"/>
  <c r="J17" i="8"/>
  <c r="J19" i="8" l="1"/>
  <c r="J25" i="8"/>
  <c r="J31" i="8"/>
  <c r="J29" i="6"/>
  <c r="J34" i="6" s="1"/>
  <c r="F12" i="10" s="1"/>
  <c r="F15" i="10" s="1"/>
  <c r="J23" i="4"/>
  <c r="J24" i="4" l="1"/>
  <c r="J26" i="4" s="1"/>
  <c r="J29" i="4" l="1"/>
  <c r="J30" i="4" s="1"/>
  <c r="J5" i="6"/>
  <c r="J27" i="4"/>
  <c r="J22" i="6" l="1"/>
  <c r="J23" i="5"/>
  <c r="J24" i="5" l="1"/>
  <c r="J42" i="5" l="1"/>
  <c r="J43" i="5"/>
  <c r="J14" i="5"/>
  <c r="J33" i="5"/>
  <c r="J20" i="6" l="1"/>
  <c r="J23" i="6" s="1"/>
  <c r="J10" i="6" s="1"/>
  <c r="J12" i="6" s="1"/>
  <c r="J25" i="6" s="1"/>
  <c r="J44" i="5"/>
  <c r="J26" i="9"/>
  <c r="J35" i="5"/>
  <c r="J37" i="5" s="1"/>
  <c r="J27" i="9"/>
  <c r="J16" i="5"/>
  <c r="J18" i="5" s="1"/>
  <c r="J39" i="5" l="1"/>
  <c r="J37" i="9"/>
  <c r="J28" i="9"/>
  <c r="J34" i="9"/>
  <c r="J38" i="9" l="1"/>
  <c r="J35" i="9"/>
  <c r="K14" i="8"/>
  <c r="K23" i="8" s="1"/>
  <c r="K13" i="5"/>
  <c r="K28" i="8" s="1"/>
  <c r="K12" i="4"/>
  <c r="K27" i="3"/>
  <c r="K17" i="4"/>
  <c r="K6" i="6" s="1"/>
  <c r="K30" i="6" s="1"/>
  <c r="K8" i="6" l="1"/>
  <c r="K6" i="5"/>
  <c r="K9" i="5" s="1"/>
  <c r="K7" i="4"/>
  <c r="K12" i="5"/>
  <c r="K11" i="4"/>
  <c r="K5" i="4"/>
  <c r="K13" i="8"/>
  <c r="K29" i="8" l="1"/>
  <c r="K7" i="6"/>
  <c r="K14" i="7"/>
  <c r="K8" i="4"/>
  <c r="K32" i="5"/>
  <c r="K15" i="8"/>
  <c r="K24" i="8" s="1"/>
  <c r="K22" i="8"/>
  <c r="K14" i="4" l="1"/>
  <c r="K9" i="4"/>
  <c r="K23" i="9"/>
  <c r="K30" i="8"/>
  <c r="K9" i="6"/>
  <c r="K17" i="8"/>
  <c r="K32" i="6"/>
  <c r="K25" i="8" l="1"/>
  <c r="K31" i="8"/>
  <c r="K19" i="8"/>
  <c r="K15" i="4"/>
  <c r="K18" i="4"/>
  <c r="K36" i="9"/>
  <c r="K29" i="6" l="1"/>
  <c r="K34" i="6" s="1"/>
  <c r="G12" i="10" s="1"/>
  <c r="G15" i="10" s="1"/>
  <c r="K23" i="4"/>
  <c r="K24" i="4" l="1"/>
  <c r="K26" i="4" s="1"/>
  <c r="K5" i="6" l="1"/>
  <c r="K27" i="4"/>
  <c r="K29" i="4"/>
  <c r="K30" i="4" s="1"/>
  <c r="K22" i="6" l="1"/>
  <c r="K23" i="5"/>
  <c r="K24" i="5" l="1"/>
  <c r="K42" i="5" l="1"/>
  <c r="K43" i="5"/>
  <c r="K14" i="5"/>
  <c r="K33" i="5"/>
  <c r="K27" i="9" l="1"/>
  <c r="K16" i="5"/>
  <c r="K18" i="5" s="1"/>
  <c r="K20" i="6"/>
  <c r="K23" i="6" s="1"/>
  <c r="K10" i="6" s="1"/>
  <c r="K12" i="6" s="1"/>
  <c r="K25" i="6" s="1"/>
  <c r="K44" i="5"/>
  <c r="K26" i="9"/>
  <c r="K35" i="5"/>
  <c r="K37" i="5" s="1"/>
  <c r="K37" i="9" l="1"/>
  <c r="K28" i="9"/>
  <c r="K34" i="9"/>
  <c r="K39" i="5"/>
  <c r="K38" i="9" l="1"/>
  <c r="K35" i="9"/>
  <c r="L27" i="3" l="1"/>
  <c r="L5" i="4" l="1"/>
  <c r="L11" i="4"/>
  <c r="L12" i="4"/>
  <c r="L13" i="5"/>
  <c r="L14" i="8"/>
  <c r="L23" i="8" s="1"/>
  <c r="L13" i="8"/>
  <c r="L7" i="4"/>
  <c r="L17" i="4"/>
  <c r="L12" i="5"/>
  <c r="L22" i="8" l="1"/>
  <c r="L15" i="8"/>
  <c r="L24" i="8" s="1"/>
  <c r="L32" i="5"/>
  <c r="L14" i="7"/>
  <c r="L8" i="6"/>
  <c r="L28" i="8"/>
  <c r="L7" i="6"/>
  <c r="L29" i="8"/>
  <c r="L6" i="5"/>
  <c r="L6" i="6"/>
  <c r="L30" i="6" s="1"/>
  <c r="L8" i="4"/>
  <c r="L14" i="4" l="1"/>
  <c r="L9" i="4"/>
  <c r="L9" i="5"/>
  <c r="L9" i="6"/>
  <c r="L32" i="6" s="1"/>
  <c r="L23" i="9"/>
  <c r="L30" i="8"/>
  <c r="L17" i="8"/>
  <c r="L19" i="8" l="1"/>
  <c r="L25" i="8"/>
  <c r="L31" i="8"/>
  <c r="L36" i="9"/>
  <c r="L18" i="4"/>
  <c r="L15" i="4"/>
  <c r="L23" i="4" l="1"/>
  <c r="L29" i="6"/>
  <c r="L34" i="6" s="1"/>
  <c r="H12" i="10" s="1"/>
  <c r="H15" i="10" s="1"/>
  <c r="L24" i="4" l="1"/>
  <c r="L26" i="4" s="1"/>
  <c r="L29" i="4" l="1"/>
  <c r="L30" i="4" s="1"/>
  <c r="L5" i="6"/>
  <c r="L23" i="5"/>
  <c r="L27" i="4"/>
  <c r="L24" i="5" l="1"/>
  <c r="L22" i="6"/>
  <c r="L14" i="5" l="1"/>
  <c r="L43" i="5"/>
  <c r="L42" i="5"/>
  <c r="L33" i="5"/>
  <c r="L20" i="6" l="1"/>
  <c r="L23" i="6" s="1"/>
  <c r="L10" i="6" s="1"/>
  <c r="L12" i="6" s="1"/>
  <c r="L25" i="6" s="1"/>
  <c r="L26" i="9"/>
  <c r="L44" i="5"/>
  <c r="L35" i="5"/>
  <c r="L37" i="5" s="1"/>
  <c r="L27" i="9"/>
  <c r="L16" i="5"/>
  <c r="L18" i="5" s="1"/>
  <c r="L39" i="5" s="1"/>
  <c r="L28" i="9" l="1"/>
  <c r="L37" i="9"/>
  <c r="L34" i="9"/>
  <c r="L38" i="9" l="1"/>
  <c r="L35" i="9"/>
  <c r="M27" i="3"/>
  <c r="M12" i="5" l="1"/>
  <c r="M11" i="4"/>
  <c r="M7" i="4"/>
  <c r="M17" i="4"/>
  <c r="M14" i="8"/>
  <c r="M23" i="8" s="1"/>
  <c r="M13" i="5"/>
  <c r="M5" i="4"/>
  <c r="M13" i="8"/>
  <c r="M12" i="4"/>
  <c r="M22" i="8" l="1"/>
  <c r="M8" i="6"/>
  <c r="M28" i="8"/>
  <c r="M6" i="6"/>
  <c r="M30" i="6" s="1"/>
  <c r="M6" i="5"/>
  <c r="M15" i="8"/>
  <c r="M24" i="8" s="1"/>
  <c r="M32" i="5"/>
  <c r="M14" i="7"/>
  <c r="M8" i="4"/>
  <c r="M29" i="8"/>
  <c r="M7" i="6"/>
  <c r="M14" i="4" l="1"/>
  <c r="M9" i="4"/>
  <c r="M23" i="9"/>
  <c r="M30" i="8"/>
  <c r="M9" i="6"/>
  <c r="M32" i="6" s="1"/>
  <c r="M9" i="5"/>
  <c r="M17" i="8"/>
  <c r="M25" i="8" l="1"/>
  <c r="M19" i="8"/>
  <c r="M31" i="8"/>
  <c r="M18" i="4"/>
  <c r="M36" i="9"/>
  <c r="M15" i="4"/>
  <c r="M29" i="6" l="1"/>
  <c r="M34" i="6" s="1"/>
  <c r="I12" i="10" s="1"/>
  <c r="I15" i="10" s="1"/>
  <c r="M23" i="4"/>
  <c r="M24" i="4" l="1"/>
  <c r="M26" i="4" s="1"/>
  <c r="M29" i="4" l="1"/>
  <c r="M30" i="4" s="1"/>
  <c r="M5" i="6"/>
  <c r="M27" i="4"/>
  <c r="M22" i="6" l="1"/>
  <c r="M23" i="5"/>
  <c r="M24" i="5" l="1"/>
  <c r="M14" i="5" l="1"/>
  <c r="M43" i="5"/>
  <c r="M42" i="5"/>
  <c r="M33" i="5"/>
  <c r="M20" i="6" l="1"/>
  <c r="M23" i="6" s="1"/>
  <c r="M10" i="6" s="1"/>
  <c r="M12" i="6" s="1"/>
  <c r="M25" i="6" s="1"/>
  <c r="M26" i="9"/>
  <c r="M44" i="5"/>
  <c r="M35" i="5"/>
  <c r="M37" i="5" s="1"/>
  <c r="M27" i="9"/>
  <c r="M16" i="5"/>
  <c r="M18" i="5" s="1"/>
  <c r="M39" i="5" l="1"/>
  <c r="M37" i="9"/>
  <c r="M28" i="9"/>
  <c r="M34" i="9"/>
  <c r="M38" i="9" l="1"/>
  <c r="M35" i="9"/>
  <c r="N11" i="4"/>
  <c r="N12" i="4"/>
  <c r="N5" i="4"/>
  <c r="N27" i="3"/>
  <c r="N13" i="8" l="1"/>
  <c r="N17" i="4"/>
  <c r="N13" i="5"/>
  <c r="N12" i="5"/>
  <c r="N7" i="4"/>
  <c r="N8" i="4"/>
  <c r="N14" i="8"/>
  <c r="N23" i="8" s="1"/>
  <c r="N14" i="7" l="1"/>
  <c r="N8" i="6"/>
  <c r="N28" i="8"/>
  <c r="N14" i="4"/>
  <c r="N9" i="4"/>
  <c r="N32" i="5"/>
  <c r="N15" i="8"/>
  <c r="N24" i="8" s="1"/>
  <c r="N29" i="8"/>
  <c r="N7" i="6"/>
  <c r="N6" i="6"/>
  <c r="N30" i="6" s="1"/>
  <c r="N6" i="5"/>
  <c r="N22" i="8"/>
  <c r="N9" i="5" l="1"/>
  <c r="N23" i="9"/>
  <c r="N30" i="8"/>
  <c r="N9" i="6"/>
  <c r="N32" i="6"/>
  <c r="N36" i="9"/>
  <c r="N18" i="4"/>
  <c r="N15" i="4"/>
  <c r="N17" i="8"/>
  <c r="N25" i="8" l="1"/>
  <c r="N31" i="8"/>
  <c r="N19" i="8"/>
  <c r="N29" i="6"/>
  <c r="N34" i="6" s="1"/>
  <c r="J12" i="10" s="1"/>
  <c r="J15" i="10" s="1"/>
  <c r="N23" i="4"/>
  <c r="N24" i="4" l="1"/>
  <c r="N26" i="4"/>
  <c r="N5" i="6" l="1"/>
  <c r="N29" i="4"/>
  <c r="N30" i="4" s="1"/>
  <c r="N27" i="4"/>
  <c r="N22" i="6" l="1"/>
  <c r="N23" i="5"/>
  <c r="N24" i="5" l="1"/>
  <c r="N43" i="5" l="1"/>
  <c r="N14" i="5"/>
  <c r="N42" i="5"/>
  <c r="N33" i="5"/>
  <c r="N20" i="6" l="1"/>
  <c r="N23" i="6" s="1"/>
  <c r="N26" i="9"/>
  <c r="N44" i="5"/>
  <c r="N35" i="5"/>
  <c r="N37" i="5" s="1"/>
  <c r="N27" i="9"/>
  <c r="N10" i="6"/>
  <c r="N12" i="6" s="1"/>
  <c r="N25" i="6" s="1"/>
  <c r="N16" i="5"/>
  <c r="N18" i="5" s="1"/>
  <c r="N39" i="5" l="1"/>
  <c r="N37" i="9"/>
  <c r="N28" i="9"/>
  <c r="N34" i="9"/>
  <c r="N38" i="9" l="1"/>
  <c r="N35" i="9"/>
  <c r="O27" i="3"/>
  <c r="O13" i="5" l="1"/>
  <c r="O12" i="4"/>
  <c r="O11" i="4"/>
  <c r="O5" i="4"/>
  <c r="O12" i="5"/>
  <c r="O17" i="4"/>
  <c r="O7" i="4"/>
  <c r="O13" i="8"/>
  <c r="O8" i="4"/>
  <c r="O14" i="4" s="1"/>
  <c r="B16" i="13"/>
  <c r="O14" i="8"/>
  <c r="O23" i="8" s="1"/>
  <c r="O15" i="8" l="1"/>
  <c r="O24" i="8" s="1"/>
  <c r="O32" i="5"/>
  <c r="B17" i="13"/>
  <c r="O36" i="9"/>
  <c r="O18" i="4"/>
  <c r="O15" i="4"/>
  <c r="O17" i="8"/>
  <c r="O22" i="8"/>
  <c r="O14" i="7"/>
  <c r="O6" i="6"/>
  <c r="O30" i="6" s="1"/>
  <c r="O6" i="5"/>
  <c r="O9" i="5" s="1"/>
  <c r="O29" i="8"/>
  <c r="O7" i="6"/>
  <c r="O9" i="4"/>
  <c r="O8" i="6"/>
  <c r="O28" i="8"/>
  <c r="O19" i="8" l="1"/>
  <c r="O25" i="8"/>
  <c r="O29" i="6"/>
  <c r="O23" i="4"/>
  <c r="O9" i="6"/>
  <c r="O23" i="9"/>
  <c r="O30" i="8"/>
  <c r="O31" i="8" s="1"/>
  <c r="O32" i="6"/>
  <c r="O24" i="4" l="1"/>
  <c r="O26" i="4" s="1"/>
  <c r="O34" i="6"/>
  <c r="K12" i="10" s="1"/>
  <c r="O29" i="4" l="1"/>
  <c r="O5" i="6"/>
  <c r="B18" i="13"/>
  <c r="O27" i="4"/>
  <c r="B18" i="10"/>
  <c r="B19" i="10" s="1"/>
  <c r="B20" i="10" s="1"/>
  <c r="B24" i="10" s="1"/>
  <c r="K15" i="10"/>
  <c r="B23" i="10" s="1"/>
  <c r="B25" i="10" s="1"/>
  <c r="B27" i="10" s="1"/>
  <c r="B28" i="10" s="1"/>
  <c r="B33" i="10" l="1"/>
  <c r="C74" i="13"/>
  <c r="B31" i="10"/>
  <c r="B84" i="13"/>
  <c r="D84" i="13" s="1"/>
  <c r="D88" i="13" s="1"/>
  <c r="A36" i="10"/>
  <c r="O30" i="4"/>
  <c r="B19" i="13"/>
  <c r="O22" i="6" l="1"/>
  <c r="B20" i="13"/>
  <c r="D27" i="13" s="1"/>
  <c r="O23" i="5"/>
  <c r="O24" i="5" s="1"/>
  <c r="D24" i="13"/>
  <c r="C24" i="13"/>
  <c r="E24" i="13"/>
  <c r="B24" i="13"/>
  <c r="B27" i="13"/>
  <c r="C27" i="13"/>
  <c r="D91" i="13"/>
  <c r="D92" i="13"/>
  <c r="A30" i="13" l="1"/>
  <c r="E27" i="13"/>
  <c r="B25" i="13"/>
  <c r="B26" i="13"/>
  <c r="E26" i="13"/>
  <c r="E25" i="13"/>
  <c r="C25" i="13"/>
  <c r="C26" i="13"/>
  <c r="D26" i="13"/>
  <c r="D25" i="13"/>
  <c r="O42" i="5"/>
  <c r="O43" i="5"/>
  <c r="O14" i="5"/>
  <c r="O33" i="5"/>
  <c r="O27" i="9" l="1"/>
  <c r="O16" i="5"/>
  <c r="O18" i="5" s="1"/>
  <c r="O44" i="5"/>
  <c r="O26" i="9"/>
  <c r="O20" i="6"/>
  <c r="O23" i="6" s="1"/>
  <c r="O10" i="6" s="1"/>
  <c r="O12" i="6" s="1"/>
  <c r="O25" i="6" s="1"/>
  <c r="O35" i="5"/>
  <c r="O37" i="5" s="1"/>
  <c r="O39" i="5" l="1"/>
  <c r="O37" i="9"/>
  <c r="O28" i="9"/>
  <c r="O34" i="9"/>
  <c r="O38" i="9" l="1"/>
  <c r="O35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Harsh Vijay</author>
  </authors>
  <commentList>
    <comment ref="F29" authorId="0" shapeId="0" xr:uid="{0C914285-55BC-4E0D-81FE-451FC7784CE9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~20% growth. Pencil capacity scaling to 7M/day from 5.5M. 9M FY26 consol. revenue already +22.7% YoY. GST cut from 12% to 0% benefits organized players. Mix share declining as faster-growing segments expand.</t>
        </r>
      </text>
    </comment>
    <comment ref="G29" authorId="0" shapeId="0" xr:uid="{E9A273DA-4A56-4DB2-AA74-4EB9AE8736A8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~20% growth. Umbergaon Phase 1 commercial production from Q2 FY27 adds pencil capacity to 8M/day. Polymer pencil gains continue. Distribution expanding toward 200K outlets. Pencil market highly penetrated but share gains from unorganized.</t>
        </r>
      </text>
    </comment>
    <comment ref="H29" authorId="0" shapeId="0" xr:uid="{41F7AA14-F367-45F2-95B1-4BE3D7F988F0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~18% growth. Full-year Umbergaon Phase 1 contribution. Pencil capacity at steady-state. Growth moderates as base effect kicks in. Share gains become incremental. Market growing at 8-9% CAGR provides organic support.</t>
        </r>
      </text>
    </comment>
    <comment ref="I29" authorId="0" shapeId="0" xr:uid="{079309C7-E392-4D1D-98A4-39A045FDB0DE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~18% growth. Umbergaon Phase 2 ramp adds further capacity. Continued volume growth in wooden and polymer pencils. Pricing stable post-GST normalization. Category growth converging toward mid-teens.</t>
        </r>
      </text>
    </comment>
    <comment ref="J29" authorId="0" shapeId="0" xr:uid="{9C02FBBB-B1DB-4DC7-A1F3-C13597977C14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~17% growth. Pencil market share approaching ceiling (~30%+). Growth now mostly volume-driven via distribution deepening in East/South India. Law of large numbers moderating growth.</t>
        </r>
      </text>
    </comment>
    <comment ref="K29" authorId="0" shapeId="0" xr:uid="{DAB3F2EC-6766-4A58-ABB0-73F2A9E08749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~16% growth. Core pencil franchise mature. Growth from rural penetration and new SKUs (premium, specialty pencils). FILA technology enabling higher-end product launches.</t>
        </r>
      </text>
    </comment>
    <comment ref="L29" authorId="0" shapeId="0" xr:uid="{752DABBD-10EC-40F9-8425-24CADFCF67C9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~15% growth. Pencil share stabilizing. Growth aligned with market CAGR + modest share gains. Distribution at 250K+ outlets but incremental additions slower.</t>
        </r>
      </text>
    </comment>
    <comment ref="M29" authorId="0" shapeId="0" xr:uid="{024A124C-2CB0-4602-BD34-646427CB15D6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~15% growth. Steady-state category growth. Premiumization driving revenue/unit higher even as volume growth moderates. Organized-to-unorganized shift remains a tailwind.</t>
        </r>
      </text>
    </comment>
    <comment ref="N29" authorId="0" shapeId="0" xr:uid="{F39720F1-E426-4116-884F-4F17D7A7E5E6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~14% growth. Mature category. Growth converging to ~1.5-2x market CAGR. Incremental gains from premiumization and geographic fill-in.</t>
        </r>
      </text>
    </comment>
    <comment ref="O29" authorId="0" shapeId="0" xr:uid="{D198BBE4-2DE8-4192-97E6-E1F27219D654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~13% growth. Terminal-phase growth. Core pencil franchise growing broadly in line with India stationery market. Stable share, steady pricing.</t>
        </r>
      </text>
    </comment>
    <comment ref="F30" authorId="0" shapeId="0" xr:uid="{2117A451-F329-4874-B679-1A78533B86A4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~20% growth. New product launches (premium color pencils, sketch pens). DOMS Art League expanding reach. FILA technology transfer for high-end art supplies (Giotto, Lyra). Indian art &amp; craft market growing ~6% CAGR to 2033.</t>
        </r>
      </text>
    </comment>
    <comment ref="G30" authorId="0" shapeId="0" xr:uid="{F9DE99A0-A9E2-4258-8F08-169D3673D6A3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~21% growth. Umbergaon facility enables expanded art material production. Amariz fine art brand scaling. FILA partnership deepening with Canson/Daler-Rowney exclusive rights in India. Premium segment gaining traction.</t>
        </r>
      </text>
    </comment>
    <comment ref="H30" authorId="0" shapeId="0" xr:uid="{E2D9993A-148E-497A-BFE3-EAA10F444D25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~19% growth. Full capacity utilization at new facility. Premium art materials gaining share. 'Creative play' trend supporting demand. Export growth via FILA distribution agreement.</t>
        </r>
      </text>
    </comment>
    <comment ref="I30" authorId="0" shapeId="0" xr:uid="{C28CB1AE-F4C7-4219-B169-A1DC8B3FB647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~19% growth. Category remains strong but base effect moderates growth. New SKU additions (500+ since FY24) continue to drive premiumization. School art competition programs expanding.</t>
        </r>
      </text>
    </comment>
    <comment ref="J30" authorId="0" shapeId="0" xr:uid="{E4DC46DD-9AF8-41A2-A419-9CF1D998E952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~18% growth. Art materials well-established. Growth from deeper penetration and premium mix shift. International demand steady via FILA exports.</t>
        </r>
      </text>
    </comment>
    <comment ref="K30" authorId="0" shapeId="0" xr:uid="{AEF6ECCA-6E9A-499D-8CF9-802677472DB0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~17% growth. Category growth normalizing. Premium art segment (Canson, Daler-Rowney) now meaningful contributor. R&amp;D team of 60+ employees driving innovation.</t>
        </r>
      </text>
    </comment>
    <comment ref="L30" authorId="0" shapeId="0" xr:uid="{90627BBF-961F-4240-A8A7-ADDA09E06FF6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~16% growth. Steady category with premiumization tailwind. Art &amp; craft supplies market maturation. FILA technology continues to differentiate product quality.</t>
        </r>
      </text>
    </comment>
    <comment ref="M30" authorId="0" shapeId="0" xr:uid="{9E7A0295-5E84-4577-8FE2-848F57940A14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~15% growth. Growth converging with broader category trends. Strong brand recall ensures steady demand. Export contribution supporting incremental growth.</t>
        </r>
      </text>
    </comment>
    <comment ref="N30" authorId="0" shapeId="0" xr:uid="{4B54A5C5-FB66-4845-9AC8-CA166EDFB62A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~14% growth. Mature category dynamics. Growth from premiumization and geographic expansion. Domestic market saturating for basic products.</t>
        </r>
      </text>
    </comment>
    <comment ref="O30" authorId="0" shapeId="0" xr:uid="{BDF05E1E-B95F-456A-B98B-88064737EC6F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~14% growth. Terminal-phase. Art material category growing in line with education sector expansion and premium product adoption.</t>
        </r>
      </text>
    </comment>
    <comment ref="F31" authorId="0" shapeId="0" xr:uid="{E08B32F0-72F9-4F2E-AB3A-0EF9F556B36E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~27% growth. Fastest-growing segment per Q3 FY26 concall. Third pen plant operational. Pen capacity scaling to 6M/day from 3.25M. Highlighters/markers launched. Share gains from Cello/Reynolds. Office supplies surged 133% in prior quarters.</t>
        </r>
      </text>
    </comment>
    <comment ref="G31" authorId="0" shapeId="0" xr:uid="{0EE2A23E-73C1-4F10-B0D1-73BE60BE8844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~26% growth. Umbergaon facility adds dedicated pen/marker production lines. ₹10 pen segment focus (per CFO). New building at Umbergaon eases capacity constraint. Category still under-penetrated for DOMS.</t>
        </r>
      </text>
    </comment>
    <comment ref="H31" authorId="0" shapeId="0" xr:uid="{08BE4EF8-A388-4633-AB5E-40AE192098B1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~26% growth. Full ramp of expanded pen capacity. Product portfolio widening (gel pens, rollerball, premium metal-body). Distribution network supporting pan-India reach. Still gaining share in large writing instruments market.</t>
        </r>
      </text>
    </comment>
    <comment ref="I31" authorId="0" shapeId="0" xr:uid="{A95C361F-ABA1-4CEC-B8F3-3296981FA562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~24% growth. Pen capacity fully utilized. Growth from new product innovation and category expansion. Writing instruments market ~₹27,750 Cr by FY28 (Technopak) provides large TAM.</t>
        </r>
      </text>
    </comment>
    <comment ref="J31" authorId="0" shapeId="0" xr:uid="{BB9650A1-D16B-4704-8DCE-F521A1CF33AF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~23% growth. DOMS now established pen brand. Growth from distribution deepening and premium segment. Category maturation beginning but still outpacing other segments.</t>
        </r>
      </text>
    </comment>
    <comment ref="K31" authorId="0" shapeId="0" xr:uid="{A53DA763-E786-4D1F-B6C7-2DE3E71983CE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~21% growth. Growth moderating from high base. Continued innovation in markers, highlighters. Office segment reaching meaningful scale. Competitive response from incumbents.</t>
        </r>
      </text>
    </comment>
    <comment ref="L31" authorId="0" shapeId="0" xr:uid="{0C217516-771B-4B81-A232-12986B33DEE1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~19% growth. Category approaching maturity. Growth from geographic fill-in and new sub-categories. Pen market share stabilizing.</t>
        </r>
      </text>
    </comment>
    <comment ref="M31" authorId="0" shapeId="0" xr:uid="{DCA0EAEE-8295-4735-97FD-30990F839818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~18% growth. Steady growth as category matures. Premium writing instruments and export demand providing incremental support.</t>
        </r>
      </text>
    </comment>
    <comment ref="N31" authorId="0" shapeId="0" xr:uid="{91A59FA9-E124-4F46-9645-8974C383EC61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~16% growth. Growth converging with category average. Market competitive dynamics stabilizing. Innovation pace moderating.</t>
        </r>
      </text>
    </comment>
    <comment ref="O31" authorId="0" shapeId="0" xr:uid="{6AA894D9-EC03-484C-BDA1-09B58761ED22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~15% growth. Terminal-phase. Office supplies well-established as 2nd largest segment. Growth in line with market + moderate share gains.</t>
        </r>
      </text>
    </comment>
    <comment ref="F32" authorId="0" shapeId="0" xr:uid="{022E7C3A-DCB2-440F-9746-D768FBE770DB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~22% growth. Super Treads acquisition (51% stake, Siliguri) scaling in East India. New exercise book line operational from Oct 2025. GST change initially disrupted channel but now normalized. Backward integration via printing line near completion.</t>
        </r>
      </text>
    </comment>
    <comment ref="G32" authorId="0" shapeId="0" xr:uid="{9BB72B40-CDAB-4534-8B3E-C4A3FED1753C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~21% growth. Full-year STPL contribution. OEM partner in South India adding capacity (per CFO concall). Paper procurement integrated improving margins. Distribution leverage from DOMS network.</t>
        </r>
      </text>
    </comment>
    <comment ref="H32" authorId="0" shapeId="0" xr:uid="{67CEACF9-F83F-480A-ACBC-04203010E59F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~20% growth. Paper stationery scaling across East and South India. Printing line backward integration complete. Product range expanding (notebooks, diaries, drawing books).</t>
        </r>
      </text>
    </comment>
    <comment ref="I32" authorId="0" shapeId="0" xr:uid="{564E354D-D5CE-4A9F-9689-9D7507625CD9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~19% growth. Category growing steadily. East India presence deepening via STPL/HDPL. New SKUs in premium notebooks. Base effect beginning to moderate growth.</t>
        </r>
      </text>
    </comment>
    <comment ref="J32" authorId="0" shapeId="0" xr:uid="{871A94FA-F17B-493F-914B-6814CB66FC03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~18% growth. Growth moderating as initial acquisition ramp stabilizes. Steady organic growth from distribution expansion and new product additions.</t>
        </r>
      </text>
    </comment>
    <comment ref="K32" authorId="0" shapeId="0" xr:uid="{D44B0B48-DE63-4611-8863-1D71D227BB44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~17% growth. Category mature. Growth from rural penetration and premium notebook segment. Competition from Navneet, Classmate.</t>
        </r>
      </text>
    </comment>
    <comment ref="L32" authorId="0" shapeId="0" xr:uid="{2A8ECFD1-45C1-41C7-8C45-19B171EEFA6E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~16% growth. Steady-state growth. Geographic expansion continues. Paper procurement efficiencies supporting competitive pricing.</t>
        </r>
      </text>
    </comment>
    <comment ref="M32" authorId="0" shapeId="0" xr:uid="{D76B6042-B852-4769-885C-1BBC942FDF43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~15% growth. Growth converging with broader stationery market. Premiumization in notebooks/diaries providing some uplift.</t>
        </r>
      </text>
    </comment>
    <comment ref="N32" authorId="0" shapeId="0" xr:uid="{140FFC34-E94A-4D3B-958E-F94D6BA69F5E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~14% growth. Mature dynamics. Growth aligned with education sector expansion and organized retail penetration.</t>
        </r>
      </text>
    </comment>
    <comment ref="O32" authorId="0" shapeId="0" xr:uid="{A5FE371A-5FE2-4536-A029-6A7ABB7237CE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~14% growth. Terminal-phase. Paper stationery growing in line with student population growth and premiumization trends.</t>
        </r>
      </text>
    </comment>
    <comment ref="F33" authorId="0" shapeId="0" xr:uid="{9CBDD0D1-A2D2-4EAE-917C-7CD3921AB0D1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~23% growth. High-growth back-to-school segment. SKIDO subsidiary (51% stake, bags &amp; packaging) supports kit assembly. Premium kit pricing improving realization. Gifting trend fueling demand.</t>
        </r>
      </text>
    </comment>
    <comment ref="G33" authorId="0" shapeId="0" xr:uid="{4816892E-68E2-4BCF-929F-0F34E35BD114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~21% growth. SKIDO's first full back-to-school season (per Q3 FY26 concall). Expanded product range with bags, tiffins, water bottles. DOMS brand pull driving kit adoption.</t>
        </r>
      </text>
    </comment>
    <comment ref="H33" authorId="0" shapeId="0" xr:uid="{C5E9B19E-83C7-496A-92B3-9AB4CB973E0B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~21% growth. Kit category well-established. Seasonal back-to-school demand strong. Product bundling strategy supporting higher ASPs. Distribution leverage from 200K+ outlets.</t>
        </r>
      </text>
    </comment>
    <comment ref="I33" authorId="0" shapeId="0" xr:uid="{5A9DDC0A-5DAA-401B-A06F-ABFB315D6760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~20% growth. Continued expansion of kit offerings. Combo packs gaining traction in organized retail and e-commerce. Premiumization in kits.</t>
        </r>
      </text>
    </comment>
    <comment ref="J33" authorId="0" shapeId="0" xr:uid="{B06848CD-51E5-49D8-B551-A0D520F88E42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~19% growth. Growth moderating as category matures. Strong brand recall drives repeat purchases. Seasonal patterns well-optimized.</t>
        </r>
      </text>
    </comment>
    <comment ref="K33" authorId="0" shapeId="0" xr:uid="{0655F6C9-AD68-4CCB-B46D-1C2157C98609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~17% growth. Category approaching steady-state. Growth from new kit variants and geographic expansion in under-penetrated markets.</t>
        </r>
      </text>
    </comment>
    <comment ref="L33" authorId="0" shapeId="0" xr:uid="{6FAA6C81-F2B7-4515-97BC-34E469AA5B75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~16% growth. Mature category dynamics. E-commerce channel contributing incremental growth.</t>
        </r>
      </text>
    </comment>
    <comment ref="M33" authorId="0" shapeId="0" xr:uid="{5B055CA5-1813-47D1-AF27-F51FE0873221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~15% growth. Steady demand aligned with back-to-school seasonality. Premium kits offsetting volume moderation.</t>
        </r>
      </text>
    </comment>
    <comment ref="N33" authorId="0" shapeId="0" xr:uid="{F849AD7E-57C9-4907-B359-367B472ED9C2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~14% growth. Growth converging with broader stationery trends. Category well-penetrated in urban markets.</t>
        </r>
      </text>
    </comment>
    <comment ref="O33" authorId="0" shapeId="0" xr:uid="{9B5453E3-E323-4615-B64A-34F05FBB0912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~14% growth. Terminal-phase. Kits &amp; combos growing with education sector and organized retail expansion.</t>
        </r>
      </text>
    </comment>
    <comment ref="F34" authorId="0" shapeId="0" xr:uid="{EC1579DC-F0BF-428E-9805-267010982C9C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~25% growth. Hobby &amp; craft recorded 280% YoY in Q2 FY26 (low base). 'Creative play' trend gaining traction. FILA art product portfolio (Giotto, Lyra) being leveraged. Niche but high-margin segment.</t>
        </r>
      </text>
    </comment>
    <comment ref="G34" authorId="0" shapeId="0" xr:uid="{659E660F-88E4-46FC-B88F-2FE4119A7E80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~24% growth. Amariz fine art brand scaling. FILA's premium art product range (Canson, Daler-Rowney) expanding in India. Distribution via 145K+ outlets. Category still small base, high growth.</t>
        </r>
      </text>
    </comment>
    <comment ref="H34" authorId="0" shapeId="0" xr:uid="{4F18FA26-D2AF-4F02-AD01-6CD478CF2E66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~23% growth. Category gaining critical mass. Premium art &amp; craft supplies finding market acceptance. Export potential via FILA's global distribution.</t>
        </r>
      </text>
    </comment>
    <comment ref="I34" authorId="0" shapeId="0" xr:uid="{255F571C-73DD-49A8-89A4-C70B717DE505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~21% growth. Strong secular trend toward creative play/hobby activities. Product range expanding. Category growing faster than core stationery.</t>
        </r>
      </text>
    </comment>
    <comment ref="J34" authorId="0" shapeId="0" xr:uid="{1DC4E341-7185-4F84-BFE4-03E27AD33AA3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~20% growth. Category approaching meaningful scale. Growth from new product launches and premium positioning. R&amp;D driving innovation.</t>
        </r>
      </text>
    </comment>
    <comment ref="K34" authorId="0" shapeId="0" xr:uid="{7EE5245F-18AA-4EB1-AC33-0023671AAE35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~19% growth. Hobby &amp; craft now ~4.5% of revenue. Growth moderating from high base. FILA technology continues to differentiate offerings.</t>
        </r>
      </text>
    </comment>
    <comment ref="L34" authorId="0" shapeId="0" xr:uid="{5EC7B45D-3092-4058-AC9E-21E5CE3BCBA0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~18% growth. Steady category expansion. Premium positioning supporting higher margins. Creative play trend supporting structural demand.</t>
        </r>
      </text>
    </comment>
    <comment ref="M34" authorId="0" shapeId="0" xr:uid="{DD6BB6BF-2D34-4F34-8233-6A99CECB669A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~16% growth. Growth normalizing. Category well-established. Domestic and export demand balanced.</t>
        </r>
      </text>
    </comment>
    <comment ref="N34" authorId="0" shapeId="0" xr:uid="{DB694271-FDEF-400E-BE18-0717C705F563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~15% growth. Growth converging with broader portfolio trends. Category maturation but premiumization sustaining above-average growth.</t>
        </r>
      </text>
    </comment>
    <comment ref="O34" authorId="0" shapeId="0" xr:uid="{12E59753-D87D-4819-B139-3D9B7327D6A4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~14% growth. Terminal-phase. Hobby &amp; craft growing with creative economy and education sector trends.</t>
        </r>
      </text>
    </comment>
    <comment ref="F35" authorId="0" shapeId="0" xr:uid="{59DE6FA2-1F26-42BF-9860-38F159F22884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~51% growth. First full year of consolidation (acquired Sep 2024). 3rd diaper line installed, capacity up to 650M from 400M units. DOMS Wowper co-branded diapers launched. 50 channel partners confirmed. Q3 strongest quarter (winter seasonality). CFO guided 85-90% utilization.</t>
        </r>
      </text>
    </comment>
    <comment ref="G35" authorId="0" shapeId="0" xr:uid="{4C54EE8F-1A63-4E02-A2BC-1950CD37E384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~32% growth. Distribution expanding nationally via DOMS network (currently 8 states). Flat diapers added to pant-style range. Wet wipes manufacturing commenced. Diaper market ~$2B, growing ~16% CAGR. EBITDA margins stabilizing at 8-9% per CFO.</t>
        </r>
      </text>
    </comment>
    <comment ref="H35" authorId="0" shapeId="0" xr:uid="{9559F725-7A2D-49F6-AA0F-7DC93E25E25C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~29% growth. National distribution ramp continues. Capacity approaching optimal utilization; further expansion planned. Brand gaining acceptance. Exports to Nepal/Middle East contributing.</t>
        </r>
      </text>
    </comment>
    <comment ref="I35" authorId="0" shapeId="0" xr:uid="{5B2F9252-D96E-4CD4-AFB2-3CB9502E274C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~26% growth. Scaling toward ₹300 Cr revenue target by FY30. Distribution near-national. New product variants (premium diapers, wipes) expanding addressable market.</t>
        </r>
      </text>
    </comment>
    <comment ref="J35" authorId="0" shapeId="0" xr:uid="{5CAB2589-3276-43B6-88FB-E5855F22EA0F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~23% growth. Approaching ₹350 Cr revenue. Distribution fully national. Growth from capacity expansion and deeper market penetration. EBITDA margins improving toward 8%.</t>
        </r>
      </text>
    </comment>
    <comment ref="K35" authorId="0" shapeId="0" xr:uid="{4DE46ADD-10BF-47F3-95A0-19DAD1EC04D4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~21% growth. Hygiene segment now ~7% of revenue. Growth moderating as initial distribution rollout completes. Market share gains in pant-style diapers.</t>
        </r>
      </text>
    </comment>
    <comment ref="L35" authorId="0" shapeId="0" xr:uid="{7AF6A553-4DB3-4004-9648-F0B7AA8BBB0E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~19% growth. Category growth normalizing. Brand established nationally. Growth from premiumization and new sub-categories (wipes, training pants).</t>
        </r>
      </text>
    </comment>
    <comment ref="M35" authorId="0" shapeId="0" xr:uid="{83508FCF-F478-4308-9ADA-330FE95335A2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~18% growth. Steady-state growth. Baby diaper market structurally growing at 15%+ CAGR. DOMS leveraging distribution muscle for sustained share gains.</t>
        </r>
      </text>
    </comment>
    <comment ref="N35" authorId="0" shapeId="0" xr:uid="{46FE03DA-2C43-447F-95AE-67333D918506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~16% growth. Growth converging with market CAGR. Distribution mature. Incremental growth from product innovation and rural penetration.</t>
        </r>
      </text>
    </comment>
    <comment ref="O35" authorId="0" shapeId="0" xr:uid="{943601A6-C975-4CEF-8C85-9EF4820AF3F0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~15% growth. Terminal-phase. Hygiene growing broadly in line with India baby diaper market CAGR of ~15-16%.</t>
        </r>
      </text>
    </comment>
    <comment ref="F36" authorId="0" shapeId="0" xr:uid="{4F7EC2EC-FABF-4BFD-926B-821CB5C88D4D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~22% growth. Seven S.p.A JV (50:50 with FILA) approved Jan 2026, ₹15 Cr initial investment. JV targets completion by Jun 2026. ClapJoy toys growing ~35% YoY. FILA export distribution driving repeat global orders. Exports +21.5% in Q3 FY26.</t>
        </r>
      </text>
    </comment>
    <comment ref="G36" authorId="0" shapeId="0" xr:uid="{65400AB8-F7B2-41FE-9E82-38756174DD87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~24% growth. Seven JV operational from Q1 FY27 — first full back-to-school season for premium backpacks. Indian manufacturing for FILA Group's global bag requirements. ClapJoy toys scaling. Export mix targeting 12-13% of revenue.</t>
        </r>
      </text>
    </comment>
    <comment ref="H36" authorId="0" shapeId="0" xr:uid="{7068886F-8B65-4003-BF95-C8A80229484B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~20% growth. Bags JV scaling in domestic and export markets. Toys gaining traction. Growth moderating from high FY27 JV launch base. US tariff risk managed via geographic diversification.</t>
        </r>
      </text>
    </comment>
    <comment ref="I36" authorId="0" shapeId="0" xr:uid="{632129FD-6872-4371-BF83-B6C63DF9971F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~18% growth. Bags and toys now at meaningful scale. Export contribution rising toward 13-14%. FILA global distribution provides counter-cyclical cushion.</t>
        </r>
      </text>
    </comment>
    <comment ref="J36" authorId="0" shapeId="0" xr:uid="{6AB729D1-88C2-4C35-8B73-DD87418189B7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~17% growth. Export mix targeting 14-15%. Seven JV at full scale for domestic + global markets. Small base high optionality narrative plays out.</t>
        </r>
      </text>
    </comment>
    <comment ref="K36" authorId="0" shapeId="0" xr:uid="{A529E11D-966F-4739-AD48-B03B53E15D25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~16% growth. Bags, toys, and exports reaching maturity. Export contribution at 15-16% of revenue. Growth normalizing.</t>
        </r>
      </text>
    </comment>
    <comment ref="L36" authorId="0" shapeId="0" xr:uid="{BA321D1F-0A64-4B23-A797-F21D41CA25ED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~15% growth. Category at steady-state. International expansion via FILA providing diversification. Product range well-established.</t>
        </r>
      </text>
    </comment>
    <comment ref="M36" authorId="0" shapeId="0" xr:uid="{487CDD61-4ACD-42F0-8CC0-59B14C7CA2F7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~14% growth. Growth converging with broader portfolio. Export contribution nearing 16-18%.</t>
        </r>
      </text>
    </comment>
    <comment ref="N36" authorId="0" shapeId="0" xr:uid="{70C71456-FA38-4873-A1AB-7600AF6D49C5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~14% growth. Growth aligned with international market dynamics and domestic category trends.</t>
        </r>
      </text>
    </comment>
    <comment ref="O36" authorId="0" shapeId="0" xr:uid="{BC3633BB-1D7C-42DB-95B7-6D5A7876BCF8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~13% growth. Terminal-phase. International business ~20% of revenue. Bags, toys, exports growing in line with respective market rates.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Harsh Vijay</author>
  </authors>
  <commentList>
    <comment ref="B31" authorId="0" shapeId="0" xr:uid="{8371B010-53C9-440B-895A-03F932B091B9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(long term growth of the Co. should almost be equal to the long term growth of the Indian economy)</t>
        </r>
      </text>
    </comment>
    <comment ref="B33" authorId="0" shapeId="0" xr:uid="{B796226B-5BFD-4A7C-8F99-5F8DEF32D131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From Damodaran's ERP table for India
</t>
        </r>
      </text>
    </comment>
    <comment ref="B34" authorId="0" shapeId="0" xr:uid="{9352327F-2CBE-4796-8BDA-4120E4CA1149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Consumer Staple so less volatile than the market in general</t>
        </r>
      </text>
    </comment>
    <comment ref="F36" authorId="0" shapeId="0" xr:uid="{30B15C70-72E1-4517-B2D9-69BFF6B5F69E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MCLR + 50-100 bps. Large cap in sector (~₹14K Cr mkt cap), tight liquidity environment FY26-27.</t>
        </r>
      </text>
    </comment>
    <comment ref="H36" authorId="0" shapeId="0" xr:uid="{77265A97-74BD-497A-92F6-0B2BABADD630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Transitional; post-capex cycle, improving cash generation.</t>
        </r>
      </text>
    </comment>
    <comment ref="J36" authorId="0" shapeId="0" xr:uid="{E673CA79-3C02-4AF7-89E1-EE5BB8353CC5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Maturity compression; mature cash-generating profile, near-zero net debt.</t>
        </r>
      </text>
    </comment>
    <comment ref="B38" authorId="0" shapeId="0" xr:uid="{231D2AC8-A15D-4B58-9207-7449EB0FC6B2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Using a flat rate for WACC = 8.75% across the considered period</t>
        </r>
      </text>
    </comment>
    <comment ref="C38" authorId="0" shapeId="0" xr:uid="{92903927-9583-4DDE-82AE-AA69612B87E4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Using Varying WACC rates across the years as the Co. matures</t>
        </r>
      </text>
    </comment>
    <comment ref="B39" authorId="0" shapeId="0" xr:uid="{6B69A11D-BE8F-4503-806C-5C736CE2D2F2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rounded up to have a conservative cushion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Harsh Vijay</author>
  </authors>
  <commentList>
    <comment ref="D7" authorId="0" shapeId="0" xr:uid="{643ABDFB-DA76-43F7-82CF-C83AD6D5E8B7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Includes new bank borrowings + lease liabilities recognized in FY24</t>
        </r>
      </text>
    </comment>
    <comment ref="E7" authorId="0" shapeId="0" xr:uid="{1146A0CB-5BAD-48B1-8D0C-907CFED6C229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Net new LT borrowings + lease additions in FY25</t>
        </r>
      </text>
    </comment>
    <comment ref="D17" authorId="0" shapeId="0" xr:uid="{8E90FD42-9B62-46A5-80EA-25376EF10302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Includes new ST borrowings + lease liabilities recognized in FY24</t>
        </r>
      </text>
    </comment>
    <comment ref="E17" authorId="0" shapeId="0" xr:uid="{EC6EB082-9E5E-407B-BB78-87FFCCCC0E7E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Net new ST borrowings + lease additions in FY25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Harsh Vijay</author>
  </authors>
  <commentList>
    <comment ref="A8" authorId="0" shapeId="0" xr:uid="{D0CCF81C-F7F6-4C4C-BE0D-66079136A630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~58% of Navneet's FY24 revenue is stationery (Youva &amp; Navneet brands), with the remainder in publishing/education content (books, e-learning). Publishing trades at structurally lower multiples, so Navneet's blended multiples (P/E 15.9x, EV/EBITDA 9.5x) likely understate what a pure stationery business of this scale would trade at. Including Navneet is conservative; it pulls the stationery peer median down.</t>
        </r>
      </text>
    </comment>
    <comment ref="F9" authorId="0" shapeId="0" xr:uid="{20DF793B-B2AA-4267-9018-2D44BC872EE1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LOSS MAKING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Harsh Vijay</author>
  </authors>
  <commentList>
    <comment ref="I18" authorId="0" shapeId="0" xr:uid="{1E950F97-2261-4216-B0CF-5963017C21AD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Raw step-up of 167% includes both control premium AND business improvement over 3 years (2012→2015). DOMS scaled significantly under FILA partnership. Assuming fair minority EV/Sales grew to ~5-6x by 2015, the control premium component = 8x/5.5x - 1 ≈ 45% (mid-point). Range: 8/6 - 1 = 33% (low) to 8/5 - 1 = 60% (high). Conservative range of 15-40% used in benchmarks to account for uncertainty.</t>
        </r>
      </text>
    </comment>
    <comment ref="B19" authorId="0" shapeId="0" xr:uid="{BE8C48F5-D431-44A5-9F5B-ABC332DF2E1C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Judgment-based estimate, not formula-derived. The FILA minority→control step-up (3x→8x EV/Sales, 2012→2015) shows a raw 167% premium, but this conflates control premium with business improvement over 3 years. Adjusting for DOMS's scaling and strategic re-rating (est. fair minority value by 2015: ~5-6x), the implied control premium is ~33-60%. The 15-40% range used here is conservative, consistent with Indian consumer M&amp;A benchmarks (typical median: 20-30%).</t>
        </r>
      </text>
    </comment>
  </commentList>
</comments>
</file>

<file path=xl/sharedStrings.xml><?xml version="1.0" encoding="utf-8"?>
<sst xmlns="http://schemas.openxmlformats.org/spreadsheetml/2006/main" count="822" uniqueCount="654">
  <si>
    <t>DOMS INDUSTRIES LIMITED</t>
  </si>
  <si>
    <t>COMPANY OVERVIEW</t>
  </si>
  <si>
    <t>Sector:</t>
  </si>
  <si>
    <t>Listing:</t>
  </si>
  <si>
    <t>Market Cap:</t>
  </si>
  <si>
    <t>Promoters:</t>
  </si>
  <si>
    <t>Shares O/S:</t>
  </si>
  <si>
    <t>Stationery, Art Materials &amp; Baby Hygiene (Consumer Brand / FMCG-lite)</t>
  </si>
  <si>
    <t>RR Group (Raveshia-Rajani) + F.I.L.A. S.p.A (Italy) | Combined ~70.4%</t>
  </si>
  <si>
    <t>~6.07 Cr equity shares (post-IPO + ESOP)</t>
  </si>
  <si>
    <t>VALUATION FRAMING: CONSUMER BRAND / FMCG-LITE</t>
  </si>
  <si>
    <t>Rationale:</t>
  </si>
  <si>
    <t>DOMS commands 'pester power' (child-led brand choice), 145K+ retail outlets, FMCG-like distribution moat</t>
  </si>
  <si>
    <t>Comparable to Pidilite, Colgate-type branded consumer plays with school/kirana distribution</t>
  </si>
  <si>
    <t>Implication:</t>
  </si>
  <si>
    <t>Justifies premium multiples (50-70x P/E) vs. pure stationery peers (25-30x P/E)</t>
  </si>
  <si>
    <t>MODEL CONTENTS</t>
  </si>
  <si>
    <t>Tab</t>
  </si>
  <si>
    <t>Description</t>
  </si>
  <si>
    <t>All hardcoded inputs: growth rates, margins, WACC, multiples (Blue font = input)</t>
  </si>
  <si>
    <t>Consolidated P&amp;L: FY22–FY25 (Actuals) + FY26E–FY30E (Projected)</t>
  </si>
  <si>
    <t>Consolidated BS: Historical + Projected, linked to IS &amp; CFS</t>
  </si>
  <si>
    <t>Indirect method CFS with Free Cash Flow derivation</t>
  </si>
  <si>
    <t>6. Working Capital</t>
  </si>
  <si>
    <t>Days-based WC schedule driving Balance Sheet items</t>
  </si>
  <si>
    <t>7. Debt Schedule</t>
  </si>
  <si>
    <t>Debt roll-forward, interest expense, repayments</t>
  </si>
  <si>
    <t>8. DCF Valuation</t>
  </si>
  <si>
    <t>9. Trading Comps</t>
  </si>
  <si>
    <t>10. Precedent Transactions</t>
  </si>
  <si>
    <t>FILA-DOMS (2012-15), Kokuyo-Camlin (2011), Linc-Mitsubishi (2025)</t>
  </si>
  <si>
    <t>11. Returns Analysis</t>
  </si>
  <si>
    <t>PE-style: Entry valuation, IRR, MOIC, scenario analysis</t>
  </si>
  <si>
    <t>12. Investment Thesis</t>
  </si>
  <si>
    <t>Key thesis, risks, mitigants, due diligence focus (within Returns tab)</t>
  </si>
  <si>
    <t>COLOR CODE LEGEND</t>
  </si>
  <si>
    <t>Hardcoded Input</t>
  </si>
  <si>
    <t>Blue font = assumptions user can change</t>
  </si>
  <si>
    <t>Formula / Calculation</t>
  </si>
  <si>
    <t>Black font = formula-driven</t>
  </si>
  <si>
    <t>Cross-sheet Link</t>
  </si>
  <si>
    <t>Green font = pulls from another tab</t>
  </si>
  <si>
    <t>Key Assumption</t>
  </si>
  <si>
    <t>Yellow highlight = key assumption needing attention</t>
  </si>
  <si>
    <t>DOMS INDUSTRIES LTD — KEY ASSUMPTIONS</t>
  </si>
  <si>
    <t>FY22A</t>
  </si>
  <si>
    <t>FY23A</t>
  </si>
  <si>
    <t>FY24A</t>
  </si>
  <si>
    <t>FY25A</t>
  </si>
  <si>
    <t>FY26E</t>
  </si>
  <si>
    <t>FY27E</t>
  </si>
  <si>
    <t>FY28E</t>
  </si>
  <si>
    <t>FY29E</t>
  </si>
  <si>
    <t>FY30E</t>
  </si>
  <si>
    <t>REVENUE ASSUMPTIONS</t>
  </si>
  <si>
    <t>Consolidated Revenue (₹ Cr)</t>
  </si>
  <si>
    <t>Revenue YoY Growth (%)</t>
  </si>
  <si>
    <t>Domestic Revenue Share (%)</t>
  </si>
  <si>
    <t>Export Revenue Share (%)</t>
  </si>
  <si>
    <t>MARGIN ASSUMPTIONS</t>
  </si>
  <si>
    <t>Gross Margin (%)</t>
  </si>
  <si>
    <t>EBITDA Margin (%)</t>
  </si>
  <si>
    <t>Employee Cost (% of Rev)</t>
  </si>
  <si>
    <t>Other Expenses (% of Rev)</t>
  </si>
  <si>
    <t>BALANCE SHEET &amp; WORKING CAPITAL</t>
  </si>
  <si>
    <t>Receivable Days</t>
  </si>
  <si>
    <t>Inventory Days</t>
  </si>
  <si>
    <t>Payable Days</t>
  </si>
  <si>
    <t>CAPEX &amp; INVESTMENT</t>
  </si>
  <si>
    <t>Capex (₹ Cr)</t>
  </si>
  <si>
    <t>Capex as % of Revenue</t>
  </si>
  <si>
    <t>CFO Guided: ₹250 Cr FY26, ₹225-250 Cr FY27</t>
  </si>
  <si>
    <t>VALUATION ASSUMPTIONS</t>
  </si>
  <si>
    <t>WACC (%)</t>
  </si>
  <si>
    <t>Terminal Growth Rate (%)</t>
  </si>
  <si>
    <t>Levered Beta</t>
  </si>
  <si>
    <t>Cost of Debt (pre-tax)</t>
  </si>
  <si>
    <t>Calculated WACC</t>
  </si>
  <si>
    <t>WACC JUSTIFICATION</t>
  </si>
  <si>
    <t>Blue font = hardcoded input | Yellow = key assumption | Black = formula</t>
  </si>
  <si>
    <t>Guided EBITDA: 16.5-17.5% FY26</t>
  </si>
  <si>
    <t>D&amp;A (% of Revenue)</t>
  </si>
  <si>
    <t>Effective Tax Rate (%)</t>
  </si>
  <si>
    <t>Equity Risk Premium</t>
  </si>
  <si>
    <t>Cost of Equity (Ke)</t>
  </si>
  <si>
    <t>Debt / Total Capital</t>
  </si>
  <si>
    <t>Low beta: low cyclicality, essential school spend, branded moat</t>
  </si>
  <si>
    <t>Near debt-free; minimal leverage</t>
  </si>
  <si>
    <t>Terminal Growth = 6%</t>
  </si>
  <si>
    <t>India nominal GDP ~10%; stationery structural growth ~12%; 6% is conservative</t>
  </si>
  <si>
    <t>Metric</t>
  </si>
  <si>
    <t>Verdict</t>
  </si>
  <si>
    <t>18-20%</t>
  </si>
  <si>
    <t>BEAT</t>
  </si>
  <si>
    <t>16.5-17.5%</t>
  </si>
  <si>
    <t>AT UPPER END</t>
  </si>
  <si>
    <t>₹160-175 Cr</t>
  </si>
  <si>
    <t>SHARES &amp; DIVIDEND</t>
  </si>
  <si>
    <t>Shares Outstanding (Cr)</t>
  </si>
  <si>
    <t>Dividend Payout Ratio (%)</t>
  </si>
  <si>
    <t>Current Market Price (₹)</t>
  </si>
  <si>
    <t>DOMS INDUSTRIES LTD — CONSOLIDATED INCOME STATEMENT</t>
  </si>
  <si>
    <t>(₹ Crores)</t>
  </si>
  <si>
    <t>Revenue from Operations</t>
  </si>
  <si>
    <t xml:space="preserve">  YoY Growth (%)</t>
  </si>
  <si>
    <t>Cost of Materials Consumed</t>
  </si>
  <si>
    <t>Gross Profit</t>
  </si>
  <si>
    <t xml:space="preserve">  Gross Margin (%)</t>
  </si>
  <si>
    <t>Employee Benefit Expenses</t>
  </si>
  <si>
    <t>Other Expenses</t>
  </si>
  <si>
    <t>EBITDA</t>
  </si>
  <si>
    <t xml:space="preserve">  EBITDA Margin (%)</t>
  </si>
  <si>
    <t>Depreciation &amp; Amortization</t>
  </si>
  <si>
    <t>EBIT</t>
  </si>
  <si>
    <t>Other Income</t>
  </si>
  <si>
    <t>Finance Costs</t>
  </si>
  <si>
    <t>Profit Before Tax (PBT)</t>
  </si>
  <si>
    <t>Tax Expense</t>
  </si>
  <si>
    <t>Profit After Tax (PAT)</t>
  </si>
  <si>
    <t xml:space="preserve">  PAT Margin (%)</t>
  </si>
  <si>
    <t>EPS (₹)</t>
  </si>
  <si>
    <t>Dividend per Share (₹)</t>
  </si>
  <si>
    <t>DOMS INDUSTRIES LTD — CONSOLIDATED BALANCE SHEET</t>
  </si>
  <si>
    <t>ASSETS</t>
  </si>
  <si>
    <t>Non-Current Assets</t>
  </si>
  <si>
    <t xml:space="preserve">  Property, Plant &amp; Equipment (Net)</t>
  </si>
  <si>
    <t xml:space="preserve">  Goodwill &amp; Intangibles</t>
  </si>
  <si>
    <t xml:space="preserve">  Other Non-Current Assets</t>
  </si>
  <si>
    <t>Total Non-Current Assets</t>
  </si>
  <si>
    <t>Current Assets</t>
  </si>
  <si>
    <t xml:space="preserve">  Inventories</t>
  </si>
  <si>
    <t xml:space="preserve">  Trade Receivables</t>
  </si>
  <si>
    <t xml:space="preserve">  Cash &amp; Cash Equivalents</t>
  </si>
  <si>
    <t xml:space="preserve">  Other Current Assets</t>
  </si>
  <si>
    <t>Total Current Assets</t>
  </si>
  <si>
    <t>TOTAL ASSETS</t>
  </si>
  <si>
    <t>EQUITY &amp; LIABILITIES</t>
  </si>
  <si>
    <t>Shareholders' Equity</t>
  </si>
  <si>
    <t xml:space="preserve">  Share Capital</t>
  </si>
  <si>
    <t xml:space="preserve">  Reserves &amp; Surplus</t>
  </si>
  <si>
    <t>Total Equity</t>
  </si>
  <si>
    <t>Non-Current Liabilities</t>
  </si>
  <si>
    <t xml:space="preserve">  Long-term Borrowings</t>
  </si>
  <si>
    <t xml:space="preserve">  Other Non-Current Liab.</t>
  </si>
  <si>
    <t>Total Non-Current Liabilities</t>
  </si>
  <si>
    <t>Current Liabilities</t>
  </si>
  <si>
    <t xml:space="preserve">  Trade Payables</t>
  </si>
  <si>
    <t xml:space="preserve">  Short-term Borrowings</t>
  </si>
  <si>
    <t xml:space="preserve">  Other Current Liabilities</t>
  </si>
  <si>
    <t>Total Current Liabilities</t>
  </si>
  <si>
    <t>TOTAL EQUITY &amp; LIABILITIES</t>
  </si>
  <si>
    <t>Balance Check (Assets - E&amp;L)</t>
  </si>
  <si>
    <t>KEY RATIOS</t>
  </si>
  <si>
    <t xml:space="preserve">  Book Value per Share (₹)</t>
  </si>
  <si>
    <t xml:space="preserve">  ROE (%)</t>
  </si>
  <si>
    <t xml:space="preserve">  Net Debt (₹ Cr)</t>
  </si>
  <si>
    <t>DOMS INDUSTRIES LTD — CONSOLIDATED CASH FLOW STATEMENT</t>
  </si>
  <si>
    <t>(₹ Crores) | Indirect Method</t>
  </si>
  <si>
    <t>CASH FLOW FROM OPERATIONS</t>
  </si>
  <si>
    <t xml:space="preserve">  PAT</t>
  </si>
  <si>
    <t xml:space="preserve">  (+) Depreciation &amp; Amortization</t>
  </si>
  <si>
    <t xml:space="preserve">  (-) Change in Inventories</t>
  </si>
  <si>
    <t xml:space="preserve">  (-) Change in Receivables</t>
  </si>
  <si>
    <t xml:space="preserve">  (+) Change in Payables</t>
  </si>
  <si>
    <t xml:space="preserve">  Other Operating Adjustments</t>
  </si>
  <si>
    <t>Cash from Operations (CFO)</t>
  </si>
  <si>
    <t>CASH FLOW FROM INVESTING</t>
  </si>
  <si>
    <t xml:space="preserve">  Capital Expenditure</t>
  </si>
  <si>
    <t xml:space="preserve">  Acquisitions / Investments</t>
  </si>
  <si>
    <t>Cash from Investing (CFI)</t>
  </si>
  <si>
    <t>CASH FLOW FROM FINANCING</t>
  </si>
  <si>
    <t xml:space="preserve">  Net Borrowings</t>
  </si>
  <si>
    <t xml:space="preserve">  IPO Proceeds</t>
  </si>
  <si>
    <t xml:space="preserve">  Dividends Paid</t>
  </si>
  <si>
    <t>Cash from Financing (CFF)</t>
  </si>
  <si>
    <t>Net Change in Cash</t>
  </si>
  <si>
    <t>FREE CASH FLOW CALCULATION</t>
  </si>
  <si>
    <t>FCFF = EBIT(1-t) + D&amp;A - Capex - ΔWC</t>
  </si>
  <si>
    <t xml:space="preserve">  EBIT × (1 - Tax Rate)</t>
  </si>
  <si>
    <t xml:space="preserve">  (+) D&amp;A</t>
  </si>
  <si>
    <t xml:space="preserve">  (-) Capex</t>
  </si>
  <si>
    <t xml:space="preserve">  (-) Change in Working Capital</t>
  </si>
  <si>
    <t>Free Cash Flow to Firm (FCFF)</t>
  </si>
  <si>
    <t>DOMS INDUSTRIES LTD — DCF VALUATION</t>
  </si>
  <si>
    <t>KEY DCF INPUTS</t>
  </si>
  <si>
    <t>WACC</t>
  </si>
  <si>
    <t>Terminal Growth Rate</t>
  </si>
  <si>
    <t>Net Debt (FY25A, ₹ Cr)</t>
  </si>
  <si>
    <t>FCFF PROJECTIONS</t>
  </si>
  <si>
    <t>FCFF (₹ Cr)</t>
  </si>
  <si>
    <t>Year Number</t>
  </si>
  <si>
    <t>Discount Factor</t>
  </si>
  <si>
    <t>PV of FCFF</t>
  </si>
  <si>
    <t>TERMINAL VALUE</t>
  </si>
  <si>
    <t>Terminal Value = FCFF × (1+g) / (WACC - g)</t>
  </si>
  <si>
    <t>PV of Terminal Value</t>
  </si>
  <si>
    <t>DCF SUMMARY</t>
  </si>
  <si>
    <t>PV of Explicit FCFF</t>
  </si>
  <si>
    <t>Enterprise Value (EV)</t>
  </si>
  <si>
    <t>(-) Net Debt</t>
  </si>
  <si>
    <t>Equity Value</t>
  </si>
  <si>
    <t>Implied Share Price (₹)</t>
  </si>
  <si>
    <t>CMP (₹)</t>
  </si>
  <si>
    <t>Upside / (Downside)</t>
  </si>
  <si>
    <t>Terminal Value as % of EV</t>
  </si>
  <si>
    <t>SENSITIVITY: IMPLIED SHARE PRICE (₹)</t>
  </si>
  <si>
    <t>DOMS INDUSTRIES LTD — TRADING COMPARABLES</t>
  </si>
  <si>
    <t>As of February 2026 | Sources: NSE, BSE, Company filings</t>
  </si>
  <si>
    <t>Company</t>
  </si>
  <si>
    <t>Mkt Cap (₹ Cr)</t>
  </si>
  <si>
    <t>Revenue (₹ Cr)</t>
  </si>
  <si>
    <t>EBITDA (₹ Cr)</t>
  </si>
  <si>
    <t>PAT (₹ Cr)</t>
  </si>
  <si>
    <t>P/E (x)</t>
  </si>
  <si>
    <t>EV/EBITDA (x)</t>
  </si>
  <si>
    <t>EV/Sales (x)</t>
  </si>
  <si>
    <t>PURE-PLAY STATIONERY PEERS</t>
  </si>
  <si>
    <t>DOMS Industries</t>
  </si>
  <si>
    <t>Flair Writing Industries</t>
  </si>
  <si>
    <t>Kokuyo Camlin</t>
  </si>
  <si>
    <t>N/M</t>
  </si>
  <si>
    <t>Linc Ltd</t>
  </si>
  <si>
    <t>FMCG / CONSUMER BRAND LATERAL COMPS</t>
  </si>
  <si>
    <t>Pidilite Industries</t>
  </si>
  <si>
    <t>Asian Paints</t>
  </si>
  <si>
    <t>Colgate-Palmolive India</t>
  </si>
  <si>
    <t>VALUATION SUMMARY</t>
  </si>
  <si>
    <t>Stationery Peer Median</t>
  </si>
  <si>
    <t>FMCG Lateral Median</t>
  </si>
  <si>
    <t>IMPLIED DOMS VALUATION (₹ per share)</t>
  </si>
  <si>
    <t>Method</t>
  </si>
  <si>
    <t>Multiple Used</t>
  </si>
  <si>
    <t>Implied EV (₹ Cr)</t>
  </si>
  <si>
    <t>Implied Price (₹)</t>
  </si>
  <si>
    <t>Stationery EV/EBITDA</t>
  </si>
  <si>
    <t>FMCG EV/EBITDA</t>
  </si>
  <si>
    <t>Stationery P/E</t>
  </si>
  <si>
    <t>N/A</t>
  </si>
  <si>
    <t>FMCG P/E</t>
  </si>
  <si>
    <t>DOMS INDUSTRIES LTD — PRECEDENT TRANSACTION ANALYSIS</t>
  </si>
  <si>
    <t>Indian Stationery &amp; Lateral Consumer M&amp;A</t>
  </si>
  <si>
    <t>Transaction</t>
  </si>
  <si>
    <t>Year</t>
  </si>
  <si>
    <t>Acquirer</t>
  </si>
  <si>
    <t>Target</t>
  </si>
  <si>
    <t>Stake (%)</t>
  </si>
  <si>
    <t>Deal Value</t>
  </si>
  <si>
    <t>Target Rev (at deal)</t>
  </si>
  <si>
    <t>Implied EV/Sales</t>
  </si>
  <si>
    <t>Key Insight</t>
  </si>
  <si>
    <t>PURE-PLAY STATIONERY M&amp;A</t>
  </si>
  <si>
    <t>FILA → DOMS (Minority)</t>
  </si>
  <si>
    <t>F.I.L.A. S.p.A</t>
  </si>
  <si>
    <t>DOMS (Writefine)</t>
  </si>
  <si>
    <t>€5.4M (~₹36 Cr)</t>
  </si>
  <si>
    <t>~€10M (~₹67 Cr)</t>
  </si>
  <si>
    <t>~3.0x</t>
  </si>
  <si>
    <t>Entry at early stage; DOMS was sub-scale</t>
  </si>
  <si>
    <t>FILA → DOMS (Control)</t>
  </si>
  <si>
    <t>51% (total)</t>
  </si>
  <si>
    <t>€36M (~₹291 Cr)</t>
  </si>
  <si>
    <t>~€7M (~₹47 Cr)</t>
  </si>
  <si>
    <t>~8.0x</t>
  </si>
  <si>
    <t>Control premium; DOMS scaled post-partnership</t>
  </si>
  <si>
    <t>Kokuyo → Camlin</t>
  </si>
  <si>
    <t>Kokuyo Co. (Japan)</t>
  </si>
  <si>
    <t>Camlin Ltd</t>
  </si>
  <si>
    <t>~₹60 Cr (@₹85/sh)</t>
  </si>
  <si>
    <t>~₹440 Cr</t>
  </si>
  <si>
    <t>~2.0x</t>
  </si>
  <si>
    <t>2x sales for alpha-kids brand &amp; retail reach</t>
  </si>
  <si>
    <t>LATERAL CONSUMER / DISTRIBUTION COMPS</t>
  </si>
  <si>
    <t>Mitsubishi → Linc JV</t>
  </si>
  <si>
    <t>2024-25</t>
  </si>
  <si>
    <t>Mitsubishi Pencil (Japan)</t>
  </si>
  <si>
    <t>Linc Ltd (JV)</t>
  </si>
  <si>
    <t>51% JV</t>
  </si>
  <si>
    <t>₹200M (~₹20 Cr)</t>
  </si>
  <si>
    <t>JV entity (new)</t>
  </si>
  <si>
    <t>N/A (JV)</t>
  </si>
  <si>
    <t>Premiumization play; ₹20 price-point products</t>
  </si>
  <si>
    <t>FILA stake sale (ABB)</t>
  </si>
  <si>
    <t>Market (ABB)</t>
  </si>
  <si>
    <t>4.57% sold</t>
  </si>
  <si>
    <t>DOMS → Uniclan</t>
  </si>
  <si>
    <t>Uniclan Healthcare</t>
  </si>
  <si>
    <t>₹54.9 Cr</t>
  </si>
  <si>
    <t>~₹80 Cr (est)</t>
  </si>
  <si>
    <t>~1.3x</t>
  </si>
  <si>
    <t>Baby hygiene entry; leverages DOMS distribution</t>
  </si>
  <si>
    <t>PTA VALUATION BENCHMARKS</t>
  </si>
  <si>
    <t>Low</t>
  </si>
  <si>
    <t>Median</t>
  </si>
  <si>
    <t>High</t>
  </si>
  <si>
    <t>EV/Sales (Stationery)</t>
  </si>
  <si>
    <t>2.0x</t>
  </si>
  <si>
    <t>8.0x</t>
  </si>
  <si>
    <t>Control Premium Observed</t>
  </si>
  <si>
    <t>IMPLIED DOMS VALUATION FROM PTA</t>
  </si>
  <si>
    <t>Bear (2.0x Sales)</t>
  </si>
  <si>
    <t>FY26E Revenue (₹ Cr)</t>
  </si>
  <si>
    <t>KEY INSIGHT:</t>
  </si>
  <si>
    <t>The FILA → DOMS deal evolution (3x → 8x sales) shows a massive re-rating as DOMS scaled.</t>
  </si>
  <si>
    <t>Kokuyo-Camlin at 2x sales sets the floor for established stationery brands in India.</t>
  </si>
  <si>
    <t>ENTRY VALUATION (FY26)</t>
  </si>
  <si>
    <t>Entry Price (₹/share)</t>
  </si>
  <si>
    <t>Entry Equity Value (₹ Cr)</t>
  </si>
  <si>
    <t>(+) Net Debt FY25 (₹ Cr)</t>
  </si>
  <si>
    <t>Entry EV (₹ Cr)</t>
  </si>
  <si>
    <t>Entry P/E (FY26E EPS)</t>
  </si>
  <si>
    <t>Entry EV/EBITDA (FY26E)</t>
  </si>
  <si>
    <t>Entry EV/Sales (FY26E)</t>
  </si>
  <si>
    <t>Cumulative Dividends / Share (₹)</t>
  </si>
  <si>
    <t>Bear Case</t>
  </si>
  <si>
    <t>Base Case</t>
  </si>
  <si>
    <t>Bull Case</t>
  </si>
  <si>
    <t>Ultra Bull</t>
  </si>
  <si>
    <t>Exit P/E Multiple</t>
  </si>
  <si>
    <t>Exit Share Price (₹)</t>
  </si>
  <si>
    <t>Total Return / Share (₹)</t>
  </si>
  <si>
    <t>MOIC (x)</t>
  </si>
  <si>
    <t>IRR (%)</t>
  </si>
  <si>
    <t>IRR SENSITIVITY: Entry P/E vs Exit P/E</t>
  </si>
  <si>
    <t>INVESTMENT THESIS</t>
  </si>
  <si>
    <t>1. Market Leader in Structural Growth Segment</t>
  </si>
  <si>
    <t>India's 2nd largest branded stationery player (~12% market share by value). Indian stationery market growing at 12-15% CAGR driven by 350M+ children under 14, rising education spend (&gt;3.4% of GDP), and organized sector share gains from unorganized players.</t>
  </si>
  <si>
    <t>2. FMCG-Like Distribution Moat</t>
  </si>
  <si>
    <t>3. 'Pester Power' Brand</t>
  </si>
  <si>
    <t>4. FILA Partnership = Global Export Platform</t>
  </si>
  <si>
    <t>Strategic partnership with F.I.L.A. (Italy) since 2012 gives access to 150+ countries. FILA uses DOMS as its global manufacturing hub for cost-effective production. Export revenue growing; FILA partnership expected to drive 15-20% of revenue long-term.</t>
  </si>
  <si>
    <t>5. Capacity Doubling in FY27</t>
  </si>
  <si>
    <t>6. Smart Diversification</t>
  </si>
  <si>
    <t>7. Management Credibility</t>
  </si>
  <si>
    <t>8. GST Tailwind</t>
  </si>
  <si>
    <t>9. Premiumization</t>
  </si>
  <si>
    <t>Product mix shifting toward higher-value categories: office supplies, hobby &amp; craft, kits &amp; combos growing faster than base pencils. Average realization per SKU improving.</t>
  </si>
  <si>
    <t>KEY RISKS &amp; MITIGATING FACTORS</t>
  </si>
  <si>
    <t>Risk</t>
  </si>
  <si>
    <t>Severity</t>
  </si>
  <si>
    <t>Mitigant</t>
  </si>
  <si>
    <t>Wooden pencil concentration (~32% of sales)</t>
  </si>
  <si>
    <t>MEDIUM</t>
  </si>
  <si>
    <t>Declining share of mix as pens, office supplies, hobby grow. Pencil capacity expansion ensures volume hold while mix shifts.</t>
  </si>
  <si>
    <t>Commodity price inflation (polymers, waxes, wood)</t>
  </si>
  <si>
    <t>Vertically integrated manufacturing absorbs cost. Pricing power via branded product. Margins guided at 16.5-17.5% floor.</t>
  </si>
  <si>
    <t>US tariff headwinds on exports</t>
  </si>
  <si>
    <t>LOW-MED</t>
  </si>
  <si>
    <t>US is &lt;5% of total revenue. FILA partnership diversifies exports across 150+ countries. Domestic market (89%) is the core driver.</t>
  </si>
  <si>
    <t>Uniclan Healthcare integration risk</t>
  </si>
  <si>
    <t>Uniclan already contributing revenue; EBITDA margins stabilizing at 7.5-8% per management. Leverages existing distribution.</t>
  </si>
  <si>
    <t>FILA promoter stake dilution (now ~26%)</t>
  </si>
  <si>
    <t>LOW</t>
  </si>
  <si>
    <t>FILA committed to long-term strategic partnership. 90-day lock-up post Dec 2024 sale. Still single largest shareholder.</t>
  </si>
  <si>
    <t>HIGH</t>
  </si>
  <si>
    <t>Key risk. Any growth miss could cause de-rating. Mitigated by earnings CAGR (~20-25%) reducing forward P/E rapidly.</t>
  </si>
  <si>
    <t>Execution risk on 44-acre facility</t>
  </si>
  <si>
    <t>Minor delays from monsoons already absorbed. First buildings completing Q1 FY27. Management has track record of on-time delivery.</t>
  </si>
  <si>
    <t>Competition from Kokuyo Camlin, Flair, Linc-Mitsubishi JV</t>
  </si>
  <si>
    <t>DOMS is the fastest growing. Kokuyo Camlin struggling (negative profits). Flair is a pen-focused player. Linc-Mitsubishi JV is early stage.</t>
  </si>
  <si>
    <t>DUE DILIGENCE FOCUS AREAS</t>
  </si>
  <si>
    <t>Area</t>
  </si>
  <si>
    <t>Priority</t>
  </si>
  <si>
    <t>Key Questions</t>
  </si>
  <si>
    <t>CRITICAL</t>
  </si>
  <si>
    <t>What is FILA's long-term commitment post-26% stake? Will they sell further? What are the export revenue guarantees under the FILA distribution agreement? What happens if FILA divests entirely?</t>
  </si>
  <si>
    <t>Physical verification of construction progress. What % of capacity is contracted to customers? What is the ramp-up timeline (Q2 FY27 start → full capacity by when)?</t>
  </si>
  <si>
    <t>Verify the 145K outlet claim independently. What is throughput per outlet? What is the overlap with Uniclan distribution? How many are exclusive vs. multi-brand?</t>
  </si>
  <si>
    <t>FILA-DOMS Transfer Pricing</t>
  </si>
  <si>
    <t>What is the transfer pricing mechanism for FILA exports? Are margins fair? Is DOMS getting full economic benefit or is value being extracted to FILA?</t>
  </si>
  <si>
    <t>VALUATION FOOTBALL FIELD (₹ per share)</t>
  </si>
  <si>
    <t>Methodology</t>
  </si>
  <si>
    <t>Base</t>
  </si>
  <si>
    <t>DCF (WACC 10.5-14.5%)</t>
  </si>
  <si>
    <t>Trading Comps (EV/EBITDA)</t>
  </si>
  <si>
    <t>Precedent Transactions (EV/Sales)</t>
  </si>
  <si>
    <t>P/E Based (FY26E)</t>
  </si>
  <si>
    <t>Current Market Price</t>
  </si>
  <si>
    <t>VERDICT</t>
  </si>
  <si>
    <t>DOMS INDUSTRIES LTD — REVENUE BUILD</t>
  </si>
  <si>
    <t>PRODUCT CATEGORY REVENUE (₹ Cr)</t>
  </si>
  <si>
    <t>Scholastic Stationery (pencils, erasers, etc.)</t>
  </si>
  <si>
    <t>Scholastic Art Material (colors, crayons)</t>
  </si>
  <si>
    <t>Office Supplies (pens, markers, boards)</t>
  </si>
  <si>
    <t>Paper Stationery (notebooks, diaries)</t>
  </si>
  <si>
    <t>Kits &amp; Combos</t>
  </si>
  <si>
    <t>Hobby &amp; Craft + Fine Art</t>
  </si>
  <si>
    <t>Hygiene (Uniclan - Wowper Diapers)</t>
  </si>
  <si>
    <t>Other (Bags JV, Toys, Misc)</t>
  </si>
  <si>
    <t>TOTAL REVENUE</t>
  </si>
  <si>
    <t>Scholastic Stationery:</t>
  </si>
  <si>
    <t>Core pencil franchise growing 15-17% driven by (1) wooden pencil capacity scaling to 7M/day from 5.5M, (2) polymer pencil gains, (3) price increases post-GST normalization. Pencil share declining from 32% to 28% of mix as other categories grow faster.</t>
  </si>
  <si>
    <t>Scholastic Art Material:</t>
  </si>
  <si>
    <t>20%+ growth driven by new product launches (premium color pencils, sketch pens), school art competitions (DOMS Art League reach expanding), and FILA technology transfer for high-end art supplies.</t>
  </si>
  <si>
    <t>Office Supplies:</t>
  </si>
  <si>
    <t>Paper Stationery:</t>
  </si>
  <si>
    <t>20% growth via Super Treads acquisition (51% stake). Notebooks business scales in East India. Margin accretive as paper procurement integrated.</t>
  </si>
  <si>
    <t>Kits &amp; Combos:</t>
  </si>
  <si>
    <t>High-growth (~20%) back-to-school segment. SKIDO subsidiary (bags, packaging) supports kit assembly. Premium kit pricing improves realization.</t>
  </si>
  <si>
    <t>Hobby &amp; Craft:</t>
  </si>
  <si>
    <t>Niche but high-margin. Growing 22%+ as 'creative play' trend gains. Leverages FILA's art product portfolio (Giotto, Lyra technology).</t>
  </si>
  <si>
    <t>Hygiene (Uniclan):</t>
  </si>
  <si>
    <t>Baby diaper market ~₹8,000 Cr, growing 15%+ CAGR. Wowper brand reaches 8 states via DOMS distribution. Capacity expanding. EBITDA margin to stabilize at 7.5-8%. Target ₹300+ Cr by FY30.</t>
  </si>
  <si>
    <t>Bags &amp; Others:</t>
  </si>
  <si>
    <t>Seven S.p.A JV (50:50) for premium backpacks. Manufacturing from Q1 FY27. ClapJoy toys (30% stake) growing 35% YoY. Combined small base but high optionality.</t>
  </si>
  <si>
    <t>Export Strategy:</t>
  </si>
  <si>
    <t>FILA distribution agreement drives repeat orders globally. Exports at 11-13% of revenue, targeting 13-15% by FY30. US tariff risk managed via geographic diversification.</t>
  </si>
  <si>
    <t xml:space="preserve">  Scholastic Stationery</t>
  </si>
  <si>
    <t xml:space="preserve">  Scholastic Art Material</t>
  </si>
  <si>
    <t xml:space="preserve">  Office Supplies</t>
  </si>
  <si>
    <t xml:space="preserve">  Paper Stationery</t>
  </si>
  <si>
    <t xml:space="preserve">  Kits &amp; Combos</t>
  </si>
  <si>
    <t xml:space="preserve">  Hobby &amp; Craft</t>
  </si>
  <si>
    <t xml:space="preserve">  Hygiene (Uniclan)</t>
  </si>
  <si>
    <t xml:space="preserve">  Other</t>
  </si>
  <si>
    <t>REVENUE MIX (% of Total)</t>
  </si>
  <si>
    <t>DOMS INDUSTRIES LTD — WORKING CAPITAL SCHEDULE</t>
  </si>
  <si>
    <t>WORKING CAPITAL DAYS (ASSUMPTIONS)</t>
  </si>
  <si>
    <t xml:space="preserve">  Days Sales Outstanding (DSO)</t>
  </si>
  <si>
    <t xml:space="preserve">  Cash Conversion Cycle (Days)</t>
  </si>
  <si>
    <t>WORKING CAPITAL BALANCES (DERIVED)</t>
  </si>
  <si>
    <t>Net Working Capital (Rec + Inv - Pay)</t>
  </si>
  <si>
    <t>Change in Working Capital (ΔWC)</t>
  </si>
  <si>
    <t>WORKING CAPITAL AS % OF REVENUE</t>
  </si>
  <si>
    <t xml:space="preserve">  Trade Receivables / Revenue</t>
  </si>
  <si>
    <t xml:space="preserve">  Inventories / Revenue</t>
  </si>
  <si>
    <t xml:space="preserve">  Trade Payables / Revenue</t>
  </si>
  <si>
    <t xml:space="preserve">  Net WC / Revenue</t>
  </si>
  <si>
    <t>CROSS-CHECK vs BALANCE SHEET</t>
  </si>
  <si>
    <t xml:space="preserve">  BS Receivables</t>
  </si>
  <si>
    <t xml:space="preserve">  BS Inventories</t>
  </si>
  <si>
    <t xml:space="preserve">  BS Payables</t>
  </si>
  <si>
    <t xml:space="preserve">  Difference (WC model - BS)</t>
  </si>
  <si>
    <t>DOMS INDUSTRIES LTD — DEBT SCHEDULE</t>
  </si>
  <si>
    <t>(₹ Crores) | DOMS is a low-leverage company — debt is minimal relative to equity</t>
  </si>
  <si>
    <t>LONG-TERM BORROWINGS</t>
  </si>
  <si>
    <t xml:space="preserve">  Opening Balance</t>
  </si>
  <si>
    <t xml:space="preserve">  (+) New Borrowings</t>
  </si>
  <si>
    <t xml:space="preserve">  (-) Repayments</t>
  </si>
  <si>
    <t xml:space="preserve">  Closing Balance</t>
  </si>
  <si>
    <t xml:space="preserve">  Interest Rate (%)</t>
  </si>
  <si>
    <t xml:space="preserve">  Interest Expense — LT</t>
  </si>
  <si>
    <t xml:space="preserve">  Cross-check: BS LT Borrowings</t>
  </si>
  <si>
    <t>SHORT-TERM BORROWINGS</t>
  </si>
  <si>
    <t xml:space="preserve">  (+) New Drawings</t>
  </si>
  <si>
    <t xml:space="preserve">  Interest Expense — ST</t>
  </si>
  <si>
    <t xml:space="preserve">  Cross-check: BS ST Borrowings</t>
  </si>
  <si>
    <t>TOTAL DEBT SUMMARY</t>
  </si>
  <si>
    <t xml:space="preserve">  Total Debt (LT + ST)</t>
  </si>
  <si>
    <t xml:space="preserve">  (-) Cash &amp; Equivalents</t>
  </si>
  <si>
    <t xml:space="preserve">  Net Debt</t>
  </si>
  <si>
    <t xml:space="preserve">  Total Interest Expense</t>
  </si>
  <si>
    <t xml:space="preserve">  Cross-check: IS Finance Costs</t>
  </si>
  <si>
    <t xml:space="preserve">  Key Ratios</t>
  </si>
  <si>
    <t xml:space="preserve">  Debt / Equity (x)</t>
  </si>
  <si>
    <t xml:space="preserve">  Net Debt / EBITDA (x)</t>
  </si>
  <si>
    <t xml:space="preserve">  Interest Coverage (EBITDA / Int.)</t>
  </si>
  <si>
    <t xml:space="preserve">  Debt / Total Capital (%)</t>
  </si>
  <si>
    <t xml:space="preserve">  Net Debt / Total Capital (%)</t>
  </si>
  <si>
    <t xml:space="preserve">  Days Inventory Outstanding (on Revenue)</t>
  </si>
  <si>
    <t xml:space="preserve">  Days Payable Outstanding (on COGS)</t>
  </si>
  <si>
    <t xml:space="preserve">  Δ vs Top-Down Assumptions (should be ~0)</t>
  </si>
  <si>
    <t>*Note: DIO calculated on Revenue (not COGS) to align with Balance Sheet methodology</t>
  </si>
  <si>
    <t>Three-Statement Financial Model - Harsh Vijay</t>
  </si>
  <si>
    <t>Risk-Free Rate (10Y GOI bond)</t>
  </si>
  <si>
    <t>WACC Override (used in model)</t>
  </si>
  <si>
    <t>Children choose DOMS by name - the brand has 29% pencil market share, 30% math-box share. Brand recall is driven by in-school marketing (DOMS Art League) and school-level competitions. Switching cost is emotional, not rational.</t>
  </si>
  <si>
    <t>145K+ retail outlets, 5,800+ distributors, 130+ super-stockists across 28 states. Replicating this network takes 10+ years. General trade contributes &gt;70% of sales - classic kirana moat similar to Pidilite/Colgate.</t>
  </si>
  <si>
    <t>44-acre Umbergaon facility to double manufacturing capacity. Commercial production from Q2 FY27. This is the key growth unlock - capex-heavy phase (₹250 Cr FY26, ₹240 Cr FY27) transitions to harvesting from FY28.</t>
  </si>
  <si>
    <t>Uniclan (baby diapers/wipes) acquired Sep 2024 - leverages same school/kirana distribution. Seven S.p.A JV for premium backpacks. ClapJoy (toys, 30% stake). Each adjacent category shares the 'child ecosystem' distribution.</t>
  </si>
  <si>
    <t>GST 2.0 rate reductions (Sep 2025) benefit organized brands like DOMS - accelerates shift from unorganized to organized sector. Short-term disruption already absorbed in Q2 FY26.</t>
  </si>
  <si>
    <t>On FY27E earnings (post-capacity ramp), the forward P/E compresses to ~46x, which is in line with premium consumer franchises growing 20%+ (Pidilite, Asian Paints in their growth phases).</t>
  </si>
  <si>
    <t>1. Fund-Level 20% ≠ Deal-Level 20%</t>
  </si>
  <si>
    <t>2. Risk-Adjusted Return is Superior</t>
  </si>
  <si>
    <t>3. Multiple Compression Already Baked In</t>
  </si>
  <si>
    <t>Entry at ~58x FY26E P/E, exit at 50x FY30E P/E implies ~14% multiple de-rating over 5 years. The entire return comes from earnings growth (~2.5x EPS growth from ₹39.69 to ₹99.34), not multiple expansion. This is the safest form of PE return — you're underwriting the business, not the market mood.</t>
  </si>
  <si>
    <t>4. Asymmetric Upside from Sensitivity Table</t>
  </si>
  <si>
    <t>5. Strategic Value Beyond IRR</t>
  </si>
  <si>
    <t>Diversifying into baby hygiene (Uniclan/Wowper), bags (Seven JV); moves beyond pure stationery</t>
  </si>
  <si>
    <t>TOTAL</t>
  </si>
  <si>
    <t xml:space="preserve">Terminal Growth Rate --&gt; </t>
  </si>
  <si>
    <t>NSE: DOMS | BSE | IPO Price ₹790/share; Listed Dec 20, 2023 @ ₹1400 (~77% Premium)</t>
  </si>
  <si>
    <t>Kd = 8.75%; D/TC = 5%</t>
  </si>
  <si>
    <t>Ke = 6.7% + 0.85 x 7% = 12.65%</t>
  </si>
  <si>
    <t>DOMS vs. Flair, Kokuyo Camlin, Linc, Navneet + FMCG lateral comps</t>
  </si>
  <si>
    <t>Premium valuation risk (65x P/E)</t>
  </si>
  <si>
    <t>EXIT PE -----&gt;</t>
  </si>
  <si>
    <t>FY31E</t>
  </si>
  <si>
    <t>FY32E</t>
  </si>
  <si>
    <t>FY33E</t>
  </si>
  <si>
    <t>FY34E</t>
  </si>
  <si>
    <t>FY35E</t>
  </si>
  <si>
    <t>Terminal Year FCFF (FY35E)</t>
  </si>
  <si>
    <t>FCFF-based | WACC: 12.4% | Terminal Growth: 6.5% | 10-Year Explicit Period</t>
  </si>
  <si>
    <t>10-Year Hold: FY26 Entry → FY36 Exit | Equity Investor Perspective</t>
  </si>
  <si>
    <t>EXIT SCENARIO ANALYSIS (FY36 = Year 10)</t>
  </si>
  <si>
    <t>FY35E Revenue (₹ Cr)</t>
  </si>
  <si>
    <t>FY35E EBITDA (₹ Cr)</t>
  </si>
  <si>
    <t>FY35E PAT (₹ Cr)</t>
  </si>
  <si>
    <t>FY35E EPS (₹)</t>
  </si>
  <si>
    <t>FCFF-based DCF | WACC: 12.4% | Terminal Growth: 6.5% | Sensitivity table</t>
  </si>
  <si>
    <t>MANAGEMENT GUIDANCE vs ACTUAL DELIVERY</t>
  </si>
  <si>
    <t>Walk the Talk Analysis - Tracking Management Credibility</t>
  </si>
  <si>
    <t>Metric / Period</t>
  </si>
  <si>
    <t>Guidance</t>
  </si>
  <si>
    <t>Actual</t>
  </si>
  <si>
    <t>FY25 REVENUE GROWTH</t>
  </si>
  <si>
    <t>Annual Target</t>
  </si>
  <si>
    <t>Q1 FY25</t>
  </si>
  <si>
    <t>Strong growth</t>
  </si>
  <si>
    <t>~25% YoY</t>
  </si>
  <si>
    <t>DELIVERED</t>
  </si>
  <si>
    <t>Q2 FY25</t>
  </si>
  <si>
    <t>Maintain trajectory</t>
  </si>
  <si>
    <t>~24% YoY</t>
  </si>
  <si>
    <t>Q3 FY25</t>
  </si>
  <si>
    <t>Upper end of range</t>
  </si>
  <si>
    <t>~35% YoY</t>
  </si>
  <si>
    <t>BEAT (festive season)</t>
  </si>
  <si>
    <t>Q4 FY25</t>
  </si>
  <si>
    <t>Seasonal normalization</t>
  </si>
  <si>
    <t>~26% YoY</t>
  </si>
  <si>
    <t>FY25 EBITDA MARGIN</t>
  </si>
  <si>
    <t>Commentary</t>
  </si>
  <si>
    <t>Input cost pressures</t>
  </si>
  <si>
    <t>Managed through backward integration</t>
  </si>
  <si>
    <t>FY26 REVENUE GROWTH (In Progress)</t>
  </si>
  <si>
    <t>18-20% (bias upper)</t>
  </si>
  <si>
    <t>9M: 22.7% YoY</t>
  </si>
  <si>
    <t>TRACKING ABOVE</t>
  </si>
  <si>
    <t>Q1 FY26</t>
  </si>
  <si>
    <t>Steady growth</t>
  </si>
  <si>
    <t>26.4% YoY</t>
  </si>
  <si>
    <t>Q2 FY26</t>
  </si>
  <si>
    <t>Maintain momentum</t>
  </si>
  <si>
    <t>24.1% YoY</t>
  </si>
  <si>
    <t>Q3 FY26</t>
  </si>
  <si>
    <t>18.2% YoY</t>
  </si>
  <si>
    <t>FY26 EBITDA MARGIN</t>
  </si>
  <si>
    <t>9M: 17.5%</t>
  </si>
  <si>
    <t>CAPACITY EXPANSION</t>
  </si>
  <si>
    <t>44-Acre Facility Timeline</t>
  </si>
  <si>
    <t>Q3 FY26 possession</t>
  </si>
  <si>
    <t>Slight delay; Q4 FY26 now</t>
  </si>
  <si>
    <t>MINOR DELAY (monsoon)</t>
  </si>
  <si>
    <t>Commercial Production</t>
  </si>
  <si>
    <t>Q4 FY26 start</t>
  </si>
  <si>
    <t>Q1-Q2 FY27 expected</t>
  </si>
  <si>
    <t>ON TRACK (rolling)</t>
  </si>
  <si>
    <t>Distribution Target</t>
  </si>
  <si>
    <t>145,000 outlets</t>
  </si>
  <si>
    <t>145,000 achieved</t>
  </si>
  <si>
    <t>CAPEX GUIDANCE</t>
  </si>
  <si>
    <t>FY25 Capex</t>
  </si>
  <si>
    <t>₹210-225 Cr</t>
  </si>
  <si>
    <t>EXCEEDED (accelerated)</t>
  </si>
  <si>
    <t>FY26 Capex</t>
  </si>
  <si>
    <t>₹160-175 Cr (revised up)</t>
  </si>
  <si>
    <t>9M: ₹230+ Cr</t>
  </si>
  <si>
    <t>EXCEEDED (good sign)</t>
  </si>
  <si>
    <t>HISTORICAL 5-YEAR TRACK RECORD</t>
  </si>
  <si>
    <t>Revenue CAGR FY20-FY25</t>
  </si>
  <si>
    <t>N/A (no explicit)</t>
  </si>
  <si>
    <t>~24% CAGR</t>
  </si>
  <si>
    <t>EXCELLENT</t>
  </si>
  <si>
    <t>PAT CAGR FY20-FY25</t>
  </si>
  <si>
    <t>~41% CAGR</t>
  </si>
  <si>
    <t>EXCEPTIONAL</t>
  </si>
  <si>
    <t>Margin Trajectory</t>
  </si>
  <si>
    <t>Guided improvement</t>
  </si>
  <si>
    <t>10.2% → 18.2% EBITDA</t>
  </si>
  <si>
    <t>OUTSTANDING</t>
  </si>
  <si>
    <t>VERDICT: STRONG 'WALK THE TALK' TRACK RECORD</t>
  </si>
  <si>
    <t>Pattern: Conservative guidance → Consistent outperformance</t>
  </si>
  <si>
    <t>Transparency: Proactively communicated facility delays</t>
  </si>
  <si>
    <t>Verify EBITDA trajectory (7.5-8% guided). Diaper market competitive intensity (Pampers, Huggies). What is DOMS Wowper's brand positioning - premium or mass?</t>
  </si>
  <si>
    <t>Inventory days have been declining (90 → 75). Is this sustainable? Verify receivable quality - any channel stuffing? Payable terms with key suppliers?</t>
  </si>
  <si>
    <t>Post-founder era - how deep is the management bench? CFO Rahul Shah is articulate and credible. What is succession planning for MD Santosh Raveshia?</t>
  </si>
  <si>
    <t>FILA Relationship &amp; Export Strategy (FILA relationship DD)</t>
  </si>
  <si>
    <t>Distribution Network Depth (Commercial DD)</t>
  </si>
  <si>
    <t>Umbergaon Facility Progress (Capacity DD)</t>
  </si>
  <si>
    <t>Uniclan Integration &amp; Hygiene Margins (Adjacency DD)</t>
  </si>
  <si>
    <t>Management Depth &amp; Key-Person Risk (Management DD)</t>
  </si>
  <si>
    <t>Working Capital Efficiency (Financial DD)</t>
  </si>
  <si>
    <t>Verify backward integration claims. Manufacturing automation levels. What % of raw materials are in-house vs. sourced? Wood supply chain for pencils - sustainability of Jammu facility?</t>
  </si>
  <si>
    <t>Raw Material Sourcing &amp; Cost Structure (Technology DD)</t>
  </si>
  <si>
    <t>Base case IRR of ~18-19% over a 5-year hold (5.44x MOIC) makes this a BUY at or below ₹2,400 for patient equity investors. See note below for PE-lens justification.</t>
  </si>
  <si>
    <t>Credibility Score (1-5): 4.6/5</t>
  </si>
  <si>
    <t>Navneet Education</t>
  </si>
  <si>
    <t>Exc. Exceptional items from other income</t>
  </si>
  <si>
    <t>Model Date: February 26, 2026  |  TASK SUBMISSION PHI CAPITAL</t>
  </si>
  <si>
    <t>BLENDED COMPS VALUATION</t>
  </si>
  <si>
    <t>Weight</t>
  </si>
  <si>
    <t>Weighted Price (₹)</t>
  </si>
  <si>
    <t xml:space="preserve">  Total Weight Check</t>
  </si>
  <si>
    <t>Blended Implied Price (₹)</t>
  </si>
  <si>
    <t>Premium / (Discount) to CMP</t>
  </si>
  <si>
    <t>NOTES:</t>
  </si>
  <si>
    <t xml:space="preserve">  This is justified given: (1) higher growth (20%+ CAGR), (2) pester power moat,</t>
  </si>
  <si>
    <t xml:space="preserve">  (3) FILA partnership for global exports, (4) diversification into hygiene/bags.</t>
  </si>
  <si>
    <t xml:space="preserve">  DOMS trades at premium to stationery peers but at a slight discount to FMCG names.</t>
  </si>
  <si>
    <t>4.0x</t>
  </si>
  <si>
    <t>₹799 Cr</t>
  </si>
  <si>
    <t>Rev ~₹1,913 Cr (FY25)</t>
  </si>
  <si>
    <t xml:space="preserve">~9.1x </t>
  </si>
  <si>
    <t>Implied ~₹17,500 Cr mkt cap (~9.1x EV/Sales on FY25 rev)</t>
  </si>
  <si>
    <t>The 2024 FILA stake sale at market implied ~9.1x EV/Sales (FY25 rev), confirming the 'Consumer Brand' re-rating.</t>
  </si>
  <si>
    <t>CONTROL PREMIUM DERIVATION</t>
  </si>
  <si>
    <t>FILA Minority (2012)</t>
  </si>
  <si>
    <t>FILA Control (2015)</t>
  </si>
  <si>
    <t>Raw Step-Up</t>
  </si>
  <si>
    <t>Adj. Control Premium</t>
  </si>
  <si>
    <t>3.0x EV/Sales</t>
  </si>
  <si>
    <t>8.0x EV/Sales</t>
  </si>
  <si>
    <t>~33-60%</t>
  </si>
  <si>
    <t>18.5% stake</t>
  </si>
  <si>
    <t>51% stake (control)</t>
  </si>
  <si>
    <t>(3 yrs apart)</t>
  </si>
  <si>
    <t>(adj. for biz improvement)</t>
  </si>
  <si>
    <t>Base (4.0x Sales)</t>
  </si>
  <si>
    <t>Bull (8.0x Sales)</t>
  </si>
  <si>
    <t>BLENDED PTA VALUATION</t>
  </si>
  <si>
    <t>Scenario</t>
  </si>
  <si>
    <t>Blended PTA Price (₹)</t>
  </si>
  <si>
    <t>MASTER BLENDED VALUATION</t>
  </si>
  <si>
    <t>Equal-weighted across DCF, Trading Comps &amp; Precedent Transactions</t>
  </si>
  <si>
    <t>Blended Price (₹)</t>
  </si>
  <si>
    <t>Source</t>
  </si>
  <si>
    <t>DCF Valuation (FCFF)</t>
  </si>
  <si>
    <t>DCF Valuation!B28</t>
  </si>
  <si>
    <t>Trading Comps (Blended)</t>
  </si>
  <si>
    <t>Trading Comps!D36</t>
  </si>
  <si>
    <t>Precedent Transactions (Blended)</t>
  </si>
  <si>
    <t>Precedent Transactions!D32</t>
  </si>
  <si>
    <t>BLENDED FAIR VALUE PER SHARE (₹)</t>
  </si>
  <si>
    <t>Implied Fair Value P/E (FY26E)</t>
  </si>
  <si>
    <t>At CMP of ~₹2,350, DOMS trades at ~63x FY26E P/E - optically expensive but compressing rapidly on a forward basis.</t>
  </si>
  <si>
    <t>PE funds target ~20% net IRR at the fund level, but this is a blended return across the portfolio. Funds expect 2-3 deals to return 3-5x (carrying the fund), while several deliver 1.5-2.5x. A 2.3x MOIC over a period of 5 years and 5.4x MOIC over the 10-year period/ ~18% IRR on a low-risk, high-visibility consumer compounder is a solid 'base hit' that anchors portfolio downside. Not every deal needs to be a home run.</t>
  </si>
  <si>
    <t>WHY 18-19% IRR JUSTIFIES A BUY (PE LENS)</t>
  </si>
  <si>
    <t>~₹14,000 Cr (Feb 2026) | CMP: ~₹2,350 | P/E: ~61.5x (TTM)</t>
  </si>
  <si>
    <t>Walk-the-Talk score: 4.6/5. Revenue growth consistently delivered at upper end of guidance. EBITDA margins maintained within/above guided range. Founder-led business (Raveshia-Rajani families) with FILA's operational rigor.</t>
  </si>
  <si>
    <t>DOMS INDUSTRIES LTD - RETURNS ANALYSIS</t>
  </si>
  <si>
    <t>Note: Revenue &amp; growth are derived from bottom-up Revenue Build (segment-level). Margins below remain as key assumptions.</t>
  </si>
  <si>
    <t>SEGMENT GROWTH RATES ASSUMPTIONS (% YoY)</t>
  </si>
  <si>
    <t>The sensitivity table (Entry 55-60x vs Exit 50-65x) shows: downside is capped at 5-10% IRR (exit at 40x = severe de-rating), while upside extends to 20%+ if exit multiple holds at 55-60x (plausible for a ₹4,500 Cr revenue consumer brand). The distribution is positively skewed - limited downside, meaningful upside optionality.</t>
  </si>
  <si>
    <t>For a PE fund focused on Indian consumer, a company like DOMS offers: portfolio 'quality anchor' (de-risks the fund narrative to LPs), potential platform for bolt-on acquisitions (Uniclan playbook), and exposure to the $8B Indian stationery market before it fully consolidates. The strategic optionality is not captured in a simple 5-year IRR calculation.</t>
  </si>
  <si>
    <t>REVENUE FORECAST ASSUMPTIONS; FOR DETAILED Y-O-Y GROWTH ASSUMPTIONS SEE CELL COMMENTS</t>
  </si>
  <si>
    <t>Fastest growing segment (25%+ growth). New pen plant operational, highlighters/markers launched. Capacity was constraint - third plant now running. Share gaining from Cello/Reynolds.</t>
  </si>
  <si>
    <t>Segment-wise forecast: Stationery, Hygiene, Exports - with detailed Y-o-Y demand drivers</t>
  </si>
  <si>
    <t>1. Revenue Build</t>
  </si>
  <si>
    <t>2. Assumptions</t>
  </si>
  <si>
    <t>3. Income Statement</t>
  </si>
  <si>
    <t>4. Balance Sheet</t>
  </si>
  <si>
    <t>5. Cash Flow Statement</t>
  </si>
  <si>
    <t>A 18% IRR in DOMS is not the same as a 18% IRR in an early-stage or turnaround bet. DOMS offers: (a) market leadership with structural tailwinds, (b) 20%+ earnings CAGR with high visibility, (c) asset-light, cash-generative model post FY28, (d) zero leverage risk (net cash by FY28E). The probability of achieving base case is significantly higher than a typical PE deal — the risk-adjusted IRR is closer to 20%+ on an expected-value basis. Basically low beta stable cash flows from a consumer staple business.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</si>
</sst>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0.0"/>
    <numFmt numFmtId="166" formatCode="0.000"/>
    <numFmt numFmtId="167" formatCode="0.000%"/>
    <numFmt numFmtId="168" formatCode="#,##0.0"/>
    <numFmt numFmtId="169" formatCode="#,##0.000"/>
    <numFmt numFmtId="170" formatCode="0.0\x"/>
  </numFmts>
  <fonts count="6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8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8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59595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color rgb="FF4472C4"/>
      <name val="Calibri"/>
      <family val="2"/>
      <scheme val="minor"/>
    </font>
    <font>
      <b/>
      <sz val="10"/>
      <color rgb="FF1F3864"/>
      <name val="Calibri"/>
      <family val="2"/>
      <scheme val="minor"/>
    </font>
    <font>
      <b/>
      <sz val="10"/>
      <color rgb="FF006100"/>
      <name val="Calibri"/>
      <family val="2"/>
      <scheme val="minor"/>
    </font>
    <font>
      <b/>
      <sz val="10"/>
      <color rgb="FFC659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0"/>
      <color rgb="FF595959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rgb="FF595959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0"/>
      <color rgb="FFA8C4E0"/>
      <name val="Calibri"/>
      <family val="2"/>
      <scheme val="minor"/>
    </font>
    <font>
      <i/>
      <sz val="10"/>
      <color rgb="FFA8C4E0"/>
      <name val="Calibri"/>
      <family val="2"/>
      <scheme val="minor"/>
    </font>
    <font>
      <sz val="11"/>
      <color rgb="FFFFFFFF"/>
      <name val="Calibri"/>
      <family val="2"/>
      <scheme val="minor"/>
    </font>
    <font>
      <sz val="10"/>
      <color rgb="FF333333"/>
      <name val="Calibri"/>
      <family val="2"/>
      <scheme val="minor"/>
    </font>
    <font>
      <b/>
      <sz val="10"/>
      <color rgb="FF333333"/>
      <name val="Calibri"/>
      <family val="2"/>
      <scheme val="minor"/>
    </font>
    <font>
      <b/>
      <sz val="11"/>
      <color rgb="FF1B3A5C"/>
      <name val="Calibri"/>
      <family val="2"/>
      <scheme val="minor"/>
    </font>
    <font>
      <b/>
      <sz val="10"/>
      <color rgb="FF1B3A5C"/>
      <name val="Calibri"/>
      <family val="2"/>
      <scheme val="minor"/>
    </font>
    <font>
      <sz val="11"/>
      <color rgb="FF1B3A5C"/>
      <name val="Calibri"/>
      <family val="2"/>
      <scheme val="minor"/>
    </font>
    <font>
      <sz val="9"/>
      <color rgb="FF444444"/>
      <name val="Calibri"/>
      <family val="2"/>
      <scheme val="minor"/>
    </font>
    <font>
      <b/>
      <sz val="9"/>
      <color rgb="FF333333"/>
      <name val="Calibri"/>
      <family val="2"/>
      <scheme val="minor"/>
    </font>
    <font>
      <b/>
      <sz val="9"/>
      <color rgb="FFFF8C00"/>
      <name val="Calibri"/>
      <family val="2"/>
      <scheme val="minor"/>
    </font>
    <font>
      <b/>
      <sz val="10"/>
      <color rgb="FF2E8B57"/>
      <name val="Calibri"/>
      <family val="2"/>
      <scheme val="minor"/>
    </font>
    <font>
      <b/>
      <sz val="9"/>
      <color rgb="FF2E8B57"/>
      <name val="Calibri"/>
      <family val="2"/>
      <scheme val="minor"/>
    </font>
    <font>
      <b/>
      <sz val="10"/>
      <color rgb="FFC0392B"/>
      <name val="Calibri"/>
      <family val="2"/>
      <scheme val="minor"/>
    </font>
    <font>
      <b/>
      <sz val="9"/>
      <color rgb="FFC0392B"/>
      <name val="Calibri"/>
      <family val="2"/>
      <scheme val="minor"/>
    </font>
    <font>
      <b/>
      <sz val="11"/>
      <color rgb="FFC0392B"/>
      <name val="Calibri"/>
      <family val="2"/>
      <scheme val="minor"/>
    </font>
    <font>
      <i/>
      <sz val="10"/>
      <color rgb="FF666666"/>
      <name val="Calibri"/>
      <family val="2"/>
      <scheme val="minor"/>
    </font>
    <font>
      <i/>
      <sz val="9"/>
      <color rgb="FF666666"/>
      <name val="Calibri"/>
      <family val="2"/>
      <scheme val="minor"/>
    </font>
    <font>
      <sz val="10"/>
      <color rgb="FF2E8B57"/>
      <name val="Calibri"/>
      <family val="2"/>
      <scheme val="minor"/>
    </font>
    <font>
      <sz val="9"/>
      <color rgb="FF666666"/>
      <name val="Calibri"/>
      <family val="2"/>
      <scheme val="minor"/>
    </font>
    <font>
      <sz val="9"/>
      <color rgb="FF999999"/>
      <name val="Calibri"/>
      <family val="2"/>
      <scheme val="minor"/>
    </font>
    <font>
      <i/>
      <sz val="9"/>
      <color rgb="FF999999"/>
      <name val="Calibri"/>
      <family val="2"/>
      <scheme val="minor"/>
    </font>
    <font>
      <b/>
      <sz val="12"/>
      <color rgb="FF1B3A5C"/>
      <name val="Calibri"/>
      <family val="2"/>
      <scheme val="minor"/>
    </font>
    <font>
      <sz val="11"/>
      <color rgb="FFC0392B"/>
      <name val="Calibri"/>
      <family val="2"/>
      <scheme val="minor"/>
    </font>
    <font>
      <b/>
      <i/>
      <sz val="10"/>
      <color rgb="FF333333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2"/>
      <color rgb="FFFF6B6B"/>
      <name val="Calibri"/>
      <family val="2"/>
      <scheme val="minor"/>
    </font>
    <font>
      <i/>
      <sz val="9"/>
      <color rgb="FFA8C4E0"/>
      <name val="Calibri"/>
      <family val="2"/>
      <scheme val="minor"/>
    </font>
    <font>
      <i/>
      <sz val="11"/>
      <color rgb="FFA8C4E0"/>
      <name val="Calibri"/>
      <family val="2"/>
      <scheme val="minor"/>
    </font>
    <font>
      <b/>
      <i/>
      <sz val="8.5"/>
      <color rgb="FFFFFFFF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D6E4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B3A5C"/>
        <bgColor indexed="64"/>
      </patternFill>
    </fill>
    <fill>
      <patternFill patternType="solid">
        <fgColor rgb="FFF2F6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0E4"/>
        <bgColor indexed="64"/>
      </patternFill>
    </fill>
    <fill>
      <patternFill patternType="solid">
        <fgColor rgb="FFD9534F"/>
        <bgColor indexed="64"/>
      </patternFill>
    </fill>
    <fill>
      <patternFill patternType="solid">
        <fgColor rgb="FF5CB85C"/>
        <bgColor indexed="64"/>
      </patternFill>
    </fill>
    <fill>
      <patternFill patternType="solid">
        <fgColor rgb="FF2E8B57"/>
        <bgColor indexed="64"/>
      </patternFill>
    </fill>
    <fill>
      <patternFill patternType="solid">
        <fgColor rgb="FFFFF9E6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FFF0F0"/>
        <bgColor indexed="64"/>
      </patternFill>
    </fill>
    <fill>
      <patternFill patternType="solid">
        <fgColor rgb="FFF8F9FA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rgb="FF1F3864"/>
      </bottom>
      <diagonal/>
    </border>
    <border>
      <left/>
      <right/>
      <top/>
      <bottom style="thin">
        <color rgb="FFB4C6E7"/>
      </bottom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/>
      <bottom style="thin">
        <color rgb="FFD9E2EC"/>
      </bottom>
      <diagonal/>
    </border>
    <border>
      <left style="thin">
        <color rgb="FFD9E2EC"/>
      </left>
      <right style="thin">
        <color rgb="FFD9E2EC"/>
      </right>
      <top/>
      <bottom style="thin">
        <color rgb="FFD9E2EC"/>
      </bottom>
      <diagonal/>
    </border>
    <border>
      <left style="thin">
        <color rgb="FFD9E2EC"/>
      </left>
      <right/>
      <top/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/>
      <top style="thin">
        <color rgb="FFD9E2EC"/>
      </top>
      <bottom style="thin">
        <color rgb="FFD9E2EC"/>
      </bottom>
      <diagonal/>
    </border>
    <border>
      <left/>
      <right/>
      <top/>
      <bottom style="thin">
        <color rgb="FF1B3A5C"/>
      </bottom>
      <diagonal/>
    </border>
    <border>
      <left/>
      <right style="thin">
        <color rgb="FFD9E2EC"/>
      </right>
      <top style="thin">
        <color rgb="FFD9E2EC"/>
      </top>
      <bottom style="medium">
        <color rgb="FF1B3A5C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medium">
        <color rgb="FF1B3A5C"/>
      </bottom>
      <diagonal/>
    </border>
    <border>
      <left style="thin">
        <color rgb="FFD9E2EC"/>
      </left>
      <right/>
      <top style="thin">
        <color rgb="FFD9E2EC"/>
      </top>
      <bottom style="medium">
        <color rgb="FF1B3A5C"/>
      </bottom>
      <diagonal/>
    </border>
    <border>
      <left/>
      <right style="thin">
        <color rgb="FFD9E2EC"/>
      </right>
      <top style="medium">
        <color rgb="FF1B3A5C"/>
      </top>
      <bottom style="thin">
        <color rgb="FFD9E2EC"/>
      </bottom>
      <diagonal/>
    </border>
    <border>
      <left style="thin">
        <color rgb="FFD9E2EC"/>
      </left>
      <right style="thin">
        <color rgb="FFD9E2EC"/>
      </right>
      <top style="medium">
        <color rgb="FF1B3A5C"/>
      </top>
      <bottom style="thin">
        <color rgb="FFD9E2EC"/>
      </bottom>
      <diagonal/>
    </border>
    <border>
      <left style="thin">
        <color rgb="FFD9E2EC"/>
      </left>
      <right/>
      <top style="medium">
        <color rgb="FF1B3A5C"/>
      </top>
      <bottom style="thin">
        <color rgb="FFD9E2EC"/>
      </bottom>
      <diagonal/>
    </border>
    <border>
      <left style="medium">
        <color rgb="FF1B3A5C"/>
      </left>
      <right style="thin">
        <color rgb="FFD9E2EC"/>
      </right>
      <top style="medium">
        <color rgb="FF1B3A5C"/>
      </top>
      <bottom style="thin">
        <color rgb="FFD9E2EC"/>
      </bottom>
      <diagonal/>
    </border>
    <border>
      <left style="medium">
        <color rgb="FF1B3A5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medium">
        <color rgb="FF1B3A5C"/>
      </left>
      <right style="thin">
        <color rgb="FFD9E2EC"/>
      </right>
      <top style="thin">
        <color rgb="FFD9E2EC"/>
      </top>
      <bottom style="medium">
        <color rgb="FF1B3A5C"/>
      </bottom>
      <diagonal/>
    </border>
    <border>
      <left style="thin">
        <color rgb="FFD9E2EC"/>
      </left>
      <right style="medium">
        <color rgb="FF1B3A5C"/>
      </right>
      <top style="medium">
        <color rgb="FF1B3A5C"/>
      </top>
      <bottom style="thin">
        <color rgb="FFD9E2EC"/>
      </bottom>
      <diagonal/>
    </border>
    <border>
      <left style="thin">
        <color rgb="FFD9E2EC"/>
      </left>
      <right style="medium">
        <color rgb="FF1B3A5C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 style="medium">
        <color rgb="FF1B3A5C"/>
      </right>
      <top style="thin">
        <color rgb="FFD9E2EC"/>
      </top>
      <bottom style="medium">
        <color rgb="FF1B3A5C"/>
      </bottom>
      <diagonal/>
    </border>
    <border>
      <left/>
      <right/>
      <top/>
      <bottom style="thin">
        <color rgb="FFE0E7EF"/>
      </bottom>
      <diagonal/>
    </border>
    <border>
      <left/>
      <right/>
      <top style="thin">
        <color rgb="FFE0E7EF"/>
      </top>
      <bottom style="thin">
        <color rgb="FFE0E7EF"/>
      </bottom>
      <diagonal/>
    </border>
    <border>
      <left/>
      <right/>
      <top style="thin">
        <color rgb="FFE0E7EF"/>
      </top>
      <bottom/>
      <diagonal/>
    </border>
    <border>
      <left/>
      <right/>
      <top style="thin">
        <color rgb="FFE0E7EF"/>
      </top>
      <bottom style="thin">
        <color rgb="FF1B3A5C"/>
      </bottom>
      <diagonal/>
    </border>
    <border>
      <left/>
      <right/>
      <top style="thin">
        <color rgb="FFE0E7EF"/>
      </top>
      <bottom style="medium">
        <color rgb="FF1B3A5C"/>
      </bottom>
      <diagonal/>
    </border>
    <border>
      <left/>
      <right style="thin">
        <color rgb="FFE0E7EF"/>
      </right>
      <top/>
      <bottom style="thin">
        <color rgb="FFE0E7EF"/>
      </bottom>
      <diagonal/>
    </border>
    <border>
      <left style="thin">
        <color rgb="FFE0E7EF"/>
      </left>
      <right style="thin">
        <color rgb="FFE0E7EF"/>
      </right>
      <top/>
      <bottom style="thin">
        <color rgb="FFE0E7EF"/>
      </bottom>
      <diagonal/>
    </border>
    <border>
      <left style="thin">
        <color rgb="FFE0E7EF"/>
      </left>
      <right/>
      <top/>
      <bottom style="thin">
        <color rgb="FFE0E7EF"/>
      </bottom>
      <diagonal/>
    </border>
    <border>
      <left/>
      <right style="thin">
        <color rgb="FFE0E7EF"/>
      </right>
      <top style="thin">
        <color rgb="FFE0E7EF"/>
      </top>
      <bottom style="thin">
        <color rgb="FFE0E7EF"/>
      </bottom>
      <diagonal/>
    </border>
    <border>
      <left style="thin">
        <color rgb="FFE0E7EF"/>
      </left>
      <right style="thin">
        <color rgb="FFE0E7EF"/>
      </right>
      <top style="thin">
        <color rgb="FFE0E7EF"/>
      </top>
      <bottom style="thin">
        <color rgb="FFE0E7EF"/>
      </bottom>
      <diagonal/>
    </border>
    <border>
      <left style="thin">
        <color rgb="FFE0E7EF"/>
      </left>
      <right/>
      <top style="thin">
        <color rgb="FFE0E7EF"/>
      </top>
      <bottom style="thin">
        <color rgb="FFE0E7EF"/>
      </bottom>
      <diagonal/>
    </border>
    <border>
      <left/>
      <right style="thin">
        <color rgb="FFE0E7EF"/>
      </right>
      <top style="thin">
        <color rgb="FFE0E7EF"/>
      </top>
      <bottom/>
      <diagonal/>
    </border>
    <border>
      <left style="thin">
        <color rgb="FFE0E7EF"/>
      </left>
      <right style="thin">
        <color rgb="FFE0E7EF"/>
      </right>
      <top style="thin">
        <color rgb="FFE0E7EF"/>
      </top>
      <bottom/>
      <diagonal/>
    </border>
    <border>
      <left style="thin">
        <color rgb="FFE0E7EF"/>
      </left>
      <right/>
      <top style="thin">
        <color rgb="FFE0E7EF"/>
      </top>
      <bottom/>
      <diagonal/>
    </border>
    <border>
      <left/>
      <right style="thin">
        <color rgb="FFE0E7EF"/>
      </right>
      <top style="thin">
        <color rgb="FFE0E7EF"/>
      </top>
      <bottom style="medium">
        <color rgb="FF1B3A5C"/>
      </bottom>
      <diagonal/>
    </border>
    <border>
      <left style="thin">
        <color rgb="FFE0E7EF"/>
      </left>
      <right style="thin">
        <color rgb="FFE0E7EF"/>
      </right>
      <top style="thin">
        <color rgb="FFE0E7EF"/>
      </top>
      <bottom style="medium">
        <color rgb="FF1B3A5C"/>
      </bottom>
      <diagonal/>
    </border>
    <border>
      <left style="thin">
        <color rgb="FFE0E7EF"/>
      </left>
      <right/>
      <top style="thin">
        <color rgb="FFE0E7EF"/>
      </top>
      <bottom style="medium">
        <color rgb="FF1B3A5C"/>
      </bottom>
      <diagonal/>
    </border>
    <border>
      <left/>
      <right style="thin">
        <color rgb="FFE0E7EF"/>
      </right>
      <top style="medium">
        <color rgb="FF1B3A5C"/>
      </top>
      <bottom style="thin">
        <color rgb="FFE0E7EF"/>
      </bottom>
      <diagonal/>
    </border>
    <border>
      <left style="thin">
        <color rgb="FFE0E7EF"/>
      </left>
      <right style="thin">
        <color rgb="FFE0E7EF"/>
      </right>
      <top style="medium">
        <color rgb="FF1B3A5C"/>
      </top>
      <bottom style="thin">
        <color rgb="FFE0E7EF"/>
      </bottom>
      <diagonal/>
    </border>
    <border>
      <left style="thin">
        <color rgb="FFE0E7EF"/>
      </left>
      <right/>
      <top style="medium">
        <color rgb="FF1B3A5C"/>
      </top>
      <bottom style="thin">
        <color rgb="FFE0E7EF"/>
      </bottom>
      <diagonal/>
    </border>
    <border>
      <left/>
      <right style="thin">
        <color rgb="FFE0E7EF"/>
      </right>
      <top/>
      <bottom/>
      <diagonal/>
    </border>
    <border>
      <left style="thin">
        <color rgb="FFE0E7EF"/>
      </left>
      <right style="thin">
        <color rgb="FFE0E7EF"/>
      </right>
      <top/>
      <bottom/>
      <diagonal/>
    </border>
    <border>
      <left style="thin">
        <color rgb="FFE0E7EF"/>
      </left>
      <right/>
      <top/>
      <bottom/>
      <diagonal/>
    </border>
    <border>
      <left style="thin">
        <color rgb="FFD9E2EC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43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7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5" fillId="2" borderId="0" xfId="0" applyFont="1" applyFill="1"/>
    <xf numFmtId="0" fontId="0" fillId="4" borderId="0" xfId="0" applyFill="1"/>
    <xf numFmtId="0" fontId="14" fillId="4" borderId="0" xfId="0" applyFont="1" applyFill="1"/>
    <xf numFmtId="0" fontId="15" fillId="0" borderId="0" xfId="0" applyFont="1"/>
    <xf numFmtId="2" fontId="0" fillId="0" borderId="0" xfId="0" applyNumberFormat="1"/>
    <xf numFmtId="2" fontId="2" fillId="0" borderId="0" xfId="0" applyNumberFormat="1" applyFont="1"/>
    <xf numFmtId="164" fontId="0" fillId="0" borderId="0" xfId="1" applyNumberFormat="1" applyFont="1"/>
    <xf numFmtId="164" fontId="12" fillId="0" borderId="0" xfId="1" applyNumberFormat="1" applyFont="1"/>
    <xf numFmtId="10" fontId="0" fillId="0" borderId="0" xfId="1" applyNumberFormat="1" applyFont="1"/>
    <xf numFmtId="164" fontId="2" fillId="0" borderId="0" xfId="1" applyNumberFormat="1" applyFont="1"/>
    <xf numFmtId="10" fontId="0" fillId="0" borderId="0" xfId="0" applyNumberFormat="1"/>
    <xf numFmtId="0" fontId="0" fillId="0" borderId="0" xfId="0" applyAlignment="1">
      <alignment horizontal="left"/>
    </xf>
    <xf numFmtId="166" fontId="12" fillId="0" borderId="0" xfId="0" applyNumberFormat="1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3" fillId="0" borderId="3" xfId="0" applyFont="1" applyBorder="1"/>
    <xf numFmtId="0" fontId="21" fillId="0" borderId="3" xfId="0" applyFont="1" applyBorder="1"/>
    <xf numFmtId="0" fontId="20" fillId="0" borderId="3" xfId="0" applyFont="1" applyBorder="1"/>
    <xf numFmtId="0" fontId="5" fillId="0" borderId="3" xfId="0" applyFont="1" applyBorder="1"/>
    <xf numFmtId="0" fontId="3" fillId="0" borderId="2" xfId="0" applyFont="1" applyBorder="1"/>
    <xf numFmtId="0" fontId="21" fillId="0" borderId="2" xfId="0" applyFont="1" applyBorder="1"/>
    <xf numFmtId="10" fontId="3" fillId="0" borderId="0" xfId="0" applyNumberFormat="1" applyFont="1" applyAlignment="1">
      <alignment horizontal="left"/>
    </xf>
    <xf numFmtId="0" fontId="0" fillId="0" borderId="1" xfId="0" applyBorder="1"/>
    <xf numFmtId="167" fontId="5" fillId="0" borderId="1" xfId="0" applyNumberFormat="1" applyFont="1" applyBorder="1"/>
    <xf numFmtId="0" fontId="0" fillId="3" borderId="0" xfId="0" applyFill="1"/>
    <xf numFmtId="0" fontId="26" fillId="0" borderId="0" xfId="0" applyFont="1"/>
    <xf numFmtId="0" fontId="29" fillId="5" borderId="0" xfId="0" applyFont="1" applyFill="1" applyAlignment="1">
      <alignment horizontal="left"/>
    </xf>
    <xf numFmtId="0" fontId="0" fillId="5" borderId="0" xfId="0" applyFill="1"/>
    <xf numFmtId="0" fontId="31" fillId="5" borderId="0" xfId="0" applyFont="1" applyFill="1"/>
    <xf numFmtId="0" fontId="0" fillId="6" borderId="0" xfId="0" applyFill="1"/>
    <xf numFmtId="0" fontId="4" fillId="4" borderId="0" xfId="0" applyFont="1" applyFill="1"/>
    <xf numFmtId="0" fontId="33" fillId="6" borderId="0" xfId="0" applyFont="1" applyFill="1"/>
    <xf numFmtId="0" fontId="33" fillId="7" borderId="0" xfId="0" applyFont="1" applyFill="1"/>
    <xf numFmtId="168" fontId="33" fillId="7" borderId="0" xfId="0" applyNumberFormat="1" applyFont="1" applyFill="1" applyAlignment="1">
      <alignment horizontal="center"/>
    </xf>
    <xf numFmtId="0" fontId="0" fillId="7" borderId="0" xfId="0" applyFill="1"/>
    <xf numFmtId="2" fontId="0" fillId="7" borderId="0" xfId="0" applyNumberFormat="1" applyFill="1"/>
    <xf numFmtId="2" fontId="32" fillId="4" borderId="0" xfId="0" applyNumberFormat="1" applyFont="1" applyFill="1"/>
    <xf numFmtId="168" fontId="33" fillId="6" borderId="0" xfId="0" applyNumberFormat="1" applyFont="1" applyFill="1" applyAlignment="1">
      <alignment horizontal="center"/>
    </xf>
    <xf numFmtId="4" fontId="33" fillId="7" borderId="0" xfId="0" applyNumberFormat="1" applyFont="1" applyFill="1" applyAlignment="1">
      <alignment horizontal="center"/>
    </xf>
    <xf numFmtId="4" fontId="33" fillId="6" borderId="0" xfId="0" applyNumberFormat="1" applyFont="1" applyFill="1" applyAlignment="1">
      <alignment horizontal="center"/>
    </xf>
    <xf numFmtId="0" fontId="6" fillId="4" borderId="0" xfId="0" applyFont="1" applyFill="1"/>
    <xf numFmtId="0" fontId="4" fillId="7" borderId="0" xfId="0" applyFont="1" applyFill="1"/>
    <xf numFmtId="0" fontId="32" fillId="4" borderId="0" xfId="0" applyFont="1" applyFill="1"/>
    <xf numFmtId="0" fontId="6" fillId="5" borderId="0" xfId="0" applyFont="1" applyFill="1" applyAlignment="1">
      <alignment horizontal="center"/>
    </xf>
    <xf numFmtId="0" fontId="6" fillId="5" borderId="0" xfId="0" applyFont="1" applyFill="1"/>
    <xf numFmtId="0" fontId="36" fillId="6" borderId="0" xfId="0" applyFont="1" applyFill="1" applyAlignment="1">
      <alignment horizontal="left"/>
    </xf>
    <xf numFmtId="0" fontId="36" fillId="7" borderId="0" xfId="0" applyFont="1" applyFill="1" applyAlignment="1">
      <alignment horizontal="left"/>
    </xf>
    <xf numFmtId="0" fontId="14" fillId="13" borderId="0" xfId="0" applyFont="1" applyFill="1"/>
    <xf numFmtId="0" fontId="0" fillId="13" borderId="0" xfId="0" applyFill="1"/>
    <xf numFmtId="0" fontId="43" fillId="14" borderId="0" xfId="0" applyFont="1" applyFill="1"/>
    <xf numFmtId="3" fontId="43" fillId="14" borderId="0" xfId="0" applyNumberFormat="1" applyFont="1" applyFill="1" applyAlignment="1">
      <alignment horizontal="center"/>
    </xf>
    <xf numFmtId="0" fontId="47" fillId="6" borderId="0" xfId="0" applyFont="1" applyFill="1"/>
    <xf numFmtId="0" fontId="51" fillId="0" borderId="0" xfId="0" applyFont="1"/>
    <xf numFmtId="0" fontId="0" fillId="14" borderId="0" xfId="0" applyFill="1"/>
    <xf numFmtId="0" fontId="35" fillId="12" borderId="0" xfId="0" applyFont="1" applyFill="1"/>
    <xf numFmtId="0" fontId="0" fillId="12" borderId="0" xfId="0" applyFill="1"/>
    <xf numFmtId="164" fontId="35" fillId="12" borderId="0" xfId="0" applyNumberFormat="1" applyFont="1" applyFill="1" applyAlignment="1">
      <alignment horizontal="center"/>
    </xf>
    <xf numFmtId="0" fontId="54" fillId="7" borderId="0" xfId="0" applyFont="1" applyFill="1"/>
    <xf numFmtId="170" fontId="54" fillId="7" borderId="0" xfId="0" applyNumberFormat="1" applyFont="1" applyFill="1" applyAlignment="1">
      <alignment horizontal="center"/>
    </xf>
    <xf numFmtId="0" fontId="36" fillId="0" borderId="0" xfId="0" applyFont="1"/>
    <xf numFmtId="0" fontId="33" fillId="7" borderId="4" xfId="0" applyFont="1" applyFill="1" applyBorder="1"/>
    <xf numFmtId="169" fontId="33" fillId="7" borderId="4" xfId="0" applyNumberFormat="1" applyFont="1" applyFill="1" applyBorder="1" applyAlignment="1">
      <alignment horizontal="center"/>
    </xf>
    <xf numFmtId="0" fontId="34" fillId="6" borderId="4" xfId="0" applyFont="1" applyFill="1" applyBorder="1"/>
    <xf numFmtId="4" fontId="34" fillId="6" borderId="4" xfId="0" applyNumberFormat="1" applyFont="1" applyFill="1" applyBorder="1" applyAlignment="1">
      <alignment horizontal="center"/>
    </xf>
    <xf numFmtId="168" fontId="33" fillId="7" borderId="4" xfId="0" applyNumberFormat="1" applyFont="1" applyFill="1" applyBorder="1" applyAlignment="1">
      <alignment horizontal="center"/>
    </xf>
    <xf numFmtId="0" fontId="36" fillId="8" borderId="4" xfId="0" applyFont="1" applyFill="1" applyBorder="1"/>
    <xf numFmtId="4" fontId="36" fillId="8" borderId="4" xfId="0" applyNumberFormat="1" applyFont="1" applyFill="1" applyBorder="1" applyAlignment="1">
      <alignment horizontal="center"/>
    </xf>
    <xf numFmtId="0" fontId="0" fillId="7" borderId="4" xfId="0" applyFill="1" applyBorder="1"/>
    <xf numFmtId="0" fontId="33" fillId="6" borderId="4" xfId="0" applyFont="1" applyFill="1" applyBorder="1"/>
    <xf numFmtId="170" fontId="33" fillId="6" borderId="4" xfId="0" applyNumberFormat="1" applyFont="1" applyFill="1" applyBorder="1" applyAlignment="1">
      <alignment horizontal="center"/>
    </xf>
    <xf numFmtId="170" fontId="33" fillId="7" borderId="4" xfId="0" applyNumberFormat="1" applyFont="1" applyFill="1" applyBorder="1" applyAlignment="1">
      <alignment horizontal="center"/>
    </xf>
    <xf numFmtId="3" fontId="7" fillId="6" borderId="4" xfId="0" applyNumberFormat="1" applyFont="1" applyFill="1" applyBorder="1" applyAlignment="1">
      <alignment horizontal="center"/>
    </xf>
    <xf numFmtId="0" fontId="34" fillId="6" borderId="8" xfId="0" applyFont="1" applyFill="1" applyBorder="1"/>
    <xf numFmtId="170" fontId="7" fillId="12" borderId="9" xfId="0" applyNumberFormat="1" applyFont="1" applyFill="1" applyBorder="1" applyAlignment="1">
      <alignment horizontal="center"/>
    </xf>
    <xf numFmtId="0" fontId="34" fillId="7" borderId="8" xfId="0" applyFont="1" applyFill="1" applyBorder="1"/>
    <xf numFmtId="3" fontId="34" fillId="7" borderId="9" xfId="0" applyNumberFormat="1" applyFont="1" applyFill="1" applyBorder="1" applyAlignment="1">
      <alignment horizontal="center"/>
    </xf>
    <xf numFmtId="0" fontId="33" fillId="6" borderId="8" xfId="0" applyFont="1" applyFill="1" applyBorder="1"/>
    <xf numFmtId="3" fontId="33" fillId="6" borderId="9" xfId="0" applyNumberFormat="1" applyFont="1" applyFill="1" applyBorder="1" applyAlignment="1">
      <alignment horizontal="center"/>
    </xf>
    <xf numFmtId="3" fontId="33" fillId="6" borderId="10" xfId="0" applyNumberFormat="1" applyFont="1" applyFill="1" applyBorder="1" applyAlignment="1">
      <alignment horizontal="center"/>
    </xf>
    <xf numFmtId="170" fontId="34" fillId="7" borderId="9" xfId="0" applyNumberFormat="1" applyFont="1" applyFill="1" applyBorder="1" applyAlignment="1">
      <alignment horizontal="center"/>
    </xf>
    <xf numFmtId="164" fontId="36" fillId="8" borderId="13" xfId="1" applyNumberFormat="1" applyFont="1" applyFill="1" applyBorder="1" applyAlignment="1">
      <alignment horizontal="center"/>
    </xf>
    <xf numFmtId="0" fontId="6" fillId="9" borderId="16" xfId="0" applyFont="1" applyFill="1" applyBorder="1" applyAlignment="1">
      <alignment horizontal="center"/>
    </xf>
    <xf numFmtId="0" fontId="6" fillId="4" borderId="16" xfId="0" applyFont="1" applyFill="1" applyBorder="1" applyAlignment="1">
      <alignment horizontal="center"/>
    </xf>
    <xf numFmtId="0" fontId="6" fillId="10" borderId="16" xfId="0" applyFont="1" applyFill="1" applyBorder="1" applyAlignment="1">
      <alignment horizontal="center"/>
    </xf>
    <xf numFmtId="0" fontId="4" fillId="7" borderId="18" xfId="0" applyFont="1" applyFill="1" applyBorder="1"/>
    <xf numFmtId="0" fontId="34" fillId="6" borderId="19" xfId="0" applyFont="1" applyFill="1" applyBorder="1"/>
    <xf numFmtId="0" fontId="34" fillId="7" borderId="19" xfId="0" applyFont="1" applyFill="1" applyBorder="1"/>
    <xf numFmtId="0" fontId="33" fillId="6" borderId="19" xfId="0" applyFont="1" applyFill="1" applyBorder="1"/>
    <xf numFmtId="0" fontId="36" fillId="8" borderId="20" xfId="0" applyFont="1" applyFill="1" applyBorder="1"/>
    <xf numFmtId="0" fontId="6" fillId="11" borderId="21" xfId="0" applyFont="1" applyFill="1" applyBorder="1" applyAlignment="1">
      <alignment horizontal="center"/>
    </xf>
    <xf numFmtId="170" fontId="7" fillId="12" borderId="22" xfId="0" applyNumberFormat="1" applyFont="1" applyFill="1" applyBorder="1" applyAlignment="1">
      <alignment horizontal="center"/>
    </xf>
    <xf numFmtId="3" fontId="34" fillId="7" borderId="22" xfId="0" applyNumberFormat="1" applyFont="1" applyFill="1" applyBorder="1" applyAlignment="1">
      <alignment horizontal="center"/>
    </xf>
    <xf numFmtId="3" fontId="33" fillId="6" borderId="22" xfId="0" applyNumberFormat="1" applyFont="1" applyFill="1" applyBorder="1" applyAlignment="1">
      <alignment horizontal="center"/>
    </xf>
    <xf numFmtId="170" fontId="34" fillId="7" borderId="22" xfId="0" applyNumberFormat="1" applyFont="1" applyFill="1" applyBorder="1" applyAlignment="1">
      <alignment horizontal="center"/>
    </xf>
    <xf numFmtId="164" fontId="36" fillId="8" borderId="23" xfId="1" applyNumberFormat="1" applyFont="1" applyFill="1" applyBorder="1" applyAlignment="1">
      <alignment horizontal="center"/>
    </xf>
    <xf numFmtId="164" fontId="33" fillId="6" borderId="9" xfId="1" applyNumberFormat="1" applyFont="1" applyFill="1" applyBorder="1" applyAlignment="1">
      <alignment horizontal="center"/>
    </xf>
    <xf numFmtId="164" fontId="33" fillId="7" borderId="9" xfId="1" applyNumberFormat="1" applyFont="1" applyFill="1" applyBorder="1" applyAlignment="1">
      <alignment horizontal="center"/>
    </xf>
    <xf numFmtId="164" fontId="34" fillId="7" borderId="9" xfId="1" applyNumberFormat="1" applyFont="1" applyFill="1" applyBorder="1" applyAlignment="1">
      <alignment horizontal="center"/>
    </xf>
    <xf numFmtId="164" fontId="33" fillId="6" borderId="13" xfId="1" applyNumberFormat="1" applyFont="1" applyFill="1" applyBorder="1" applyAlignment="1">
      <alignment horizontal="center"/>
    </xf>
    <xf numFmtId="1" fontId="6" fillId="5" borderId="16" xfId="0" applyNumberFormat="1" applyFont="1" applyFill="1" applyBorder="1" applyAlignment="1">
      <alignment horizontal="center"/>
    </xf>
    <xf numFmtId="10" fontId="6" fillId="5" borderId="18" xfId="0" applyNumberFormat="1" applyFont="1" applyFill="1" applyBorder="1" applyAlignment="1">
      <alignment horizontal="center"/>
    </xf>
    <xf numFmtId="1" fontId="6" fillId="5" borderId="19" xfId="0" applyNumberFormat="1" applyFont="1" applyFill="1" applyBorder="1" applyAlignment="1">
      <alignment horizontal="center"/>
    </xf>
    <xf numFmtId="1" fontId="6" fillId="5" borderId="20" xfId="0" applyNumberFormat="1" applyFont="1" applyFill="1" applyBorder="1" applyAlignment="1">
      <alignment horizontal="center"/>
    </xf>
    <xf numFmtId="1" fontId="6" fillId="5" borderId="21" xfId="0" applyNumberFormat="1" applyFont="1" applyFill="1" applyBorder="1" applyAlignment="1">
      <alignment horizontal="center"/>
    </xf>
    <xf numFmtId="164" fontId="33" fillId="6" borderId="22" xfId="1" applyNumberFormat="1" applyFont="1" applyFill="1" applyBorder="1" applyAlignment="1">
      <alignment horizontal="center"/>
    </xf>
    <xf numFmtId="164" fontId="33" fillId="7" borderId="22" xfId="1" applyNumberFormat="1" applyFont="1" applyFill="1" applyBorder="1" applyAlignment="1">
      <alignment horizontal="center"/>
    </xf>
    <xf numFmtId="164" fontId="33" fillId="6" borderId="23" xfId="1" applyNumberFormat="1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3" fontId="33" fillId="7" borderId="9" xfId="0" applyNumberFormat="1" applyFont="1" applyFill="1" applyBorder="1" applyAlignment="1">
      <alignment horizontal="center"/>
    </xf>
    <xf numFmtId="3" fontId="33" fillId="7" borderId="10" xfId="0" applyNumberFormat="1" applyFont="1" applyFill="1" applyBorder="1" applyAlignment="1">
      <alignment horizontal="center"/>
    </xf>
    <xf numFmtId="0" fontId="34" fillId="7" borderId="12" xfId="0" applyFont="1" applyFill="1" applyBorder="1"/>
    <xf numFmtId="3" fontId="33" fillId="7" borderId="13" xfId="0" applyNumberFormat="1" applyFont="1" applyFill="1" applyBorder="1" applyAlignment="1">
      <alignment horizontal="center"/>
    </xf>
    <xf numFmtId="3" fontId="33" fillId="7" borderId="14" xfId="0" applyNumberFormat="1" applyFont="1" applyFill="1" applyBorder="1" applyAlignment="1">
      <alignment horizontal="center"/>
    </xf>
    <xf numFmtId="3" fontId="48" fillId="6" borderId="9" xfId="0" applyNumberFormat="1" applyFont="1" applyFill="1" applyBorder="1" applyAlignment="1">
      <alignment horizontal="center"/>
    </xf>
    <xf numFmtId="9" fontId="7" fillId="6" borderId="9" xfId="0" applyNumberFormat="1" applyFont="1" applyFill="1" applyBorder="1" applyAlignment="1">
      <alignment horizontal="center"/>
    </xf>
    <xf numFmtId="0" fontId="49" fillId="6" borderId="10" xfId="0" applyFont="1" applyFill="1" applyBorder="1" applyAlignment="1">
      <alignment horizontal="center"/>
    </xf>
    <xf numFmtId="0" fontId="33" fillId="7" borderId="8" xfId="0" applyFont="1" applyFill="1" applyBorder="1"/>
    <xf numFmtId="3" fontId="48" fillId="7" borderId="9" xfId="0" applyNumberFormat="1" applyFont="1" applyFill="1" applyBorder="1" applyAlignment="1">
      <alignment horizontal="center"/>
    </xf>
    <xf numFmtId="9" fontId="7" fillId="7" borderId="9" xfId="0" applyNumberFormat="1" applyFont="1" applyFill="1" applyBorder="1" applyAlignment="1">
      <alignment horizontal="center"/>
    </xf>
    <xf numFmtId="0" fontId="49" fillId="7" borderId="10" xfId="0" applyFont="1" applyFill="1" applyBorder="1" applyAlignment="1">
      <alignment horizontal="center"/>
    </xf>
    <xf numFmtId="0" fontId="51" fillId="7" borderId="8" xfId="0" applyFont="1" applyFill="1" applyBorder="1"/>
    <xf numFmtId="0" fontId="0" fillId="7" borderId="9" xfId="0" applyFill="1" applyBorder="1"/>
    <xf numFmtId="9" fontId="50" fillId="7" borderId="9" xfId="0" applyNumberFormat="1" applyFont="1" applyFill="1" applyBorder="1" applyAlignment="1">
      <alignment horizontal="center"/>
    </xf>
    <xf numFmtId="0" fontId="0" fillId="7" borderId="10" xfId="0" applyFill="1" applyBorder="1"/>
    <xf numFmtId="0" fontId="52" fillId="8" borderId="12" xfId="0" applyFont="1" applyFill="1" applyBorder="1"/>
    <xf numFmtId="0" fontId="0" fillId="8" borderId="13" xfId="0" applyFill="1" applyBorder="1"/>
    <xf numFmtId="3" fontId="52" fillId="8" borderId="13" xfId="0" applyNumberFormat="1" applyFont="1" applyFill="1" applyBorder="1" applyAlignment="1">
      <alignment horizontal="center"/>
    </xf>
    <xf numFmtId="0" fontId="0" fillId="8" borderId="14" xfId="0" applyFill="1" applyBorder="1"/>
    <xf numFmtId="0" fontId="6" fillId="5" borderId="15" xfId="0" applyFont="1" applyFill="1" applyBorder="1" applyAlignment="1">
      <alignment horizontal="center"/>
    </xf>
    <xf numFmtId="0" fontId="6" fillId="5" borderId="16" xfId="0" applyFont="1" applyFill="1" applyBorder="1" applyAlignment="1">
      <alignment horizontal="center"/>
    </xf>
    <xf numFmtId="0" fontId="6" fillId="5" borderId="17" xfId="0" applyFont="1" applyFill="1" applyBorder="1" applyAlignment="1">
      <alignment horizontal="center"/>
    </xf>
    <xf numFmtId="0" fontId="39" fillId="6" borderId="8" xfId="0" applyFont="1" applyFill="1" applyBorder="1" applyAlignment="1">
      <alignment vertical="top" wrapText="1"/>
    </xf>
    <xf numFmtId="0" fontId="40" fillId="6" borderId="9" xfId="0" applyFont="1" applyFill="1" applyBorder="1" applyAlignment="1">
      <alignment horizontal="center" vertical="top" wrapText="1"/>
    </xf>
    <xf numFmtId="0" fontId="39" fillId="7" borderId="8" xfId="0" applyFont="1" applyFill="1" applyBorder="1" applyAlignment="1">
      <alignment vertical="top" wrapText="1"/>
    </xf>
    <xf numFmtId="0" fontId="40" fillId="7" borderId="9" xfId="0" applyFont="1" applyFill="1" applyBorder="1" applyAlignment="1">
      <alignment horizontal="center" vertical="top" wrapText="1"/>
    </xf>
    <xf numFmtId="0" fontId="42" fillId="6" borderId="9" xfId="0" applyFont="1" applyFill="1" applyBorder="1" applyAlignment="1">
      <alignment horizontal="center" vertical="top" wrapText="1"/>
    </xf>
    <xf numFmtId="0" fontId="44" fillId="7" borderId="9" xfId="0" applyFont="1" applyFill="1" applyBorder="1" applyAlignment="1">
      <alignment horizontal="center" vertical="top" wrapText="1"/>
    </xf>
    <xf numFmtId="0" fontId="39" fillId="7" borderId="12" xfId="0" applyFont="1" applyFill="1" applyBorder="1" applyAlignment="1">
      <alignment vertical="top" wrapText="1"/>
    </xf>
    <xf numFmtId="0" fontId="42" fillId="7" borderId="13" xfId="0" applyFont="1" applyFill="1" applyBorder="1" applyAlignment="1">
      <alignment horizontal="center" vertical="top" wrapText="1"/>
    </xf>
    <xf numFmtId="0" fontId="39" fillId="6" borderId="8" xfId="0" applyFont="1" applyFill="1" applyBorder="1" applyAlignment="1">
      <alignment horizontal="left" vertical="top" wrapText="1"/>
    </xf>
    <xf numFmtId="0" fontId="44" fillId="6" borderId="9" xfId="0" applyFont="1" applyFill="1" applyBorder="1" applyAlignment="1">
      <alignment horizontal="center" vertical="top" wrapText="1"/>
    </xf>
    <xf numFmtId="0" fontId="39" fillId="7" borderId="8" xfId="0" applyFont="1" applyFill="1" applyBorder="1" applyAlignment="1">
      <alignment horizontal="left" vertical="top" wrapText="1"/>
    </xf>
    <xf numFmtId="0" fontId="42" fillId="7" borderId="9" xfId="0" applyFont="1" applyFill="1" applyBorder="1" applyAlignment="1">
      <alignment horizontal="center" vertical="top" wrapText="1"/>
    </xf>
    <xf numFmtId="0" fontId="39" fillId="7" borderId="12" xfId="0" applyFont="1" applyFill="1" applyBorder="1" applyAlignment="1">
      <alignment horizontal="left" vertical="top" wrapText="1"/>
    </xf>
    <xf numFmtId="0" fontId="33" fillId="15" borderId="0" xfId="0" applyFont="1" applyFill="1" applyAlignment="1">
      <alignment vertical="top" wrapText="1"/>
    </xf>
    <xf numFmtId="0" fontId="41" fillId="8" borderId="0" xfId="0" applyFont="1" applyFill="1" applyAlignment="1">
      <alignment vertical="top" wrapText="1"/>
    </xf>
    <xf numFmtId="0" fontId="36" fillId="6" borderId="0" xfId="0" applyFont="1" applyFill="1" applyAlignment="1">
      <alignment vertical="top" wrapText="1"/>
    </xf>
    <xf numFmtId="0" fontId="38" fillId="6" borderId="0" xfId="0" applyFont="1" applyFill="1" applyAlignment="1">
      <alignment vertical="top" wrapText="1"/>
    </xf>
    <xf numFmtId="0" fontId="0" fillId="7" borderId="0" xfId="0" applyFill="1" applyAlignment="1">
      <alignment vertical="top"/>
    </xf>
    <xf numFmtId="0" fontId="36" fillId="7" borderId="0" xfId="0" applyFont="1" applyFill="1" applyAlignment="1">
      <alignment vertical="top" wrapText="1"/>
    </xf>
    <xf numFmtId="0" fontId="38" fillId="7" borderId="0" xfId="0" applyFont="1" applyFill="1" applyAlignment="1">
      <alignment vertical="top" wrapText="1"/>
    </xf>
    <xf numFmtId="0" fontId="0" fillId="7" borderId="0" xfId="0" applyFill="1" applyAlignment="1">
      <alignment horizontal="left"/>
    </xf>
    <xf numFmtId="0" fontId="55" fillId="5" borderId="0" xfId="0" applyFont="1" applyFill="1"/>
    <xf numFmtId="0" fontId="32" fillId="5" borderId="0" xfId="0" applyFont="1" applyFill="1"/>
    <xf numFmtId="0" fontId="4" fillId="5" borderId="0" xfId="0" applyFont="1" applyFill="1"/>
    <xf numFmtId="0" fontId="56" fillId="5" borderId="0" xfId="0" applyFont="1" applyFill="1"/>
    <xf numFmtId="0" fontId="30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12" borderId="0" xfId="0" applyFont="1" applyFill="1"/>
    <xf numFmtId="0" fontId="4" fillId="5" borderId="24" xfId="0" applyFont="1" applyFill="1" applyBorder="1"/>
    <xf numFmtId="0" fontId="33" fillId="6" borderId="25" xfId="0" applyFont="1" applyFill="1" applyBorder="1"/>
    <xf numFmtId="0" fontId="33" fillId="7" borderId="25" xfId="0" applyFont="1" applyFill="1" applyBorder="1"/>
    <xf numFmtId="0" fontId="33" fillId="7" borderId="28" xfId="0" applyFont="1" applyFill="1" applyBorder="1"/>
    <xf numFmtId="0" fontId="28" fillId="5" borderId="0" xfId="0" applyFont="1" applyFill="1"/>
    <xf numFmtId="0" fontId="37" fillId="5" borderId="0" xfId="0" applyFont="1" applyFill="1"/>
    <xf numFmtId="0" fontId="4" fillId="5" borderId="0" xfId="0" applyFont="1" applyFill="1" applyAlignment="1">
      <alignment horizontal="center"/>
    </xf>
    <xf numFmtId="0" fontId="35" fillId="0" borderId="0" xfId="0" applyFont="1"/>
    <xf numFmtId="165" fontId="0" fillId="7" borderId="0" xfId="0" applyNumberFormat="1" applyFill="1"/>
    <xf numFmtId="0" fontId="2" fillId="6" borderId="0" xfId="0" applyFont="1" applyFill="1"/>
    <xf numFmtId="165" fontId="0" fillId="6" borderId="0" xfId="0" applyNumberFormat="1" applyFill="1"/>
    <xf numFmtId="2" fontId="0" fillId="6" borderId="0" xfId="0" applyNumberFormat="1" applyFill="1"/>
    <xf numFmtId="0" fontId="2" fillId="6" borderId="24" xfId="0" applyFont="1" applyFill="1" applyBorder="1"/>
    <xf numFmtId="0" fontId="0" fillId="6" borderId="25" xfId="0" applyFill="1" applyBorder="1"/>
    <xf numFmtId="0" fontId="0" fillId="7" borderId="25" xfId="0" applyFill="1" applyBorder="1"/>
    <xf numFmtId="165" fontId="0" fillId="7" borderId="25" xfId="0" applyNumberFormat="1" applyFill="1" applyBorder="1"/>
    <xf numFmtId="0" fontId="35" fillId="6" borderId="25" xfId="0" applyFont="1" applyFill="1" applyBorder="1"/>
    <xf numFmtId="0" fontId="2" fillId="6" borderId="25" xfId="0" applyFont="1" applyFill="1" applyBorder="1"/>
    <xf numFmtId="165" fontId="2" fillId="6" borderId="25" xfId="0" applyNumberFormat="1" applyFont="1" applyFill="1" applyBorder="1"/>
    <xf numFmtId="165" fontId="0" fillId="6" borderId="25" xfId="0" applyNumberFormat="1" applyFill="1" applyBorder="1"/>
    <xf numFmtId="0" fontId="35" fillId="8" borderId="25" xfId="0" applyFont="1" applyFill="1" applyBorder="1"/>
    <xf numFmtId="165" fontId="35" fillId="8" borderId="25" xfId="0" applyNumberFormat="1" applyFont="1" applyFill="1" applyBorder="1"/>
    <xf numFmtId="165" fontId="12" fillId="6" borderId="25" xfId="0" applyNumberFormat="1" applyFont="1" applyFill="1" applyBorder="1"/>
    <xf numFmtId="165" fontId="12" fillId="7" borderId="25" xfId="0" applyNumberFormat="1" applyFont="1" applyFill="1" applyBorder="1"/>
    <xf numFmtId="0" fontId="35" fillId="7" borderId="25" xfId="0" applyFont="1" applyFill="1" applyBorder="1"/>
    <xf numFmtId="0" fontId="2" fillId="7" borderId="25" xfId="0" applyFont="1" applyFill="1" applyBorder="1"/>
    <xf numFmtId="165" fontId="2" fillId="7" borderId="25" xfId="0" applyNumberFormat="1" applyFont="1" applyFill="1" applyBorder="1"/>
    <xf numFmtId="2" fontId="0" fillId="6" borderId="25" xfId="0" applyNumberFormat="1" applyFill="1" applyBorder="1"/>
    <xf numFmtId="2" fontId="35" fillId="8" borderId="25" xfId="0" applyNumberFormat="1" applyFont="1" applyFill="1" applyBorder="1"/>
    <xf numFmtId="0" fontId="0" fillId="6" borderId="26" xfId="0" applyFill="1" applyBorder="1"/>
    <xf numFmtId="165" fontId="0" fillId="6" borderId="26" xfId="0" applyNumberFormat="1" applyFill="1" applyBorder="1"/>
    <xf numFmtId="0" fontId="46" fillId="7" borderId="24" xfId="0" applyFont="1" applyFill="1" applyBorder="1"/>
    <xf numFmtId="164" fontId="46" fillId="7" borderId="24" xfId="1" applyNumberFormat="1" applyFont="1" applyFill="1" applyBorder="1"/>
    <xf numFmtId="0" fontId="35" fillId="6" borderId="11" xfId="0" applyFont="1" applyFill="1" applyBorder="1"/>
    <xf numFmtId="0" fontId="2" fillId="6" borderId="11" xfId="0" applyFont="1" applyFill="1" applyBorder="1"/>
    <xf numFmtId="165" fontId="2" fillId="6" borderId="11" xfId="0" applyNumberFormat="1" applyFont="1" applyFill="1" applyBorder="1"/>
    <xf numFmtId="0" fontId="0" fillId="7" borderId="26" xfId="0" applyFill="1" applyBorder="1"/>
    <xf numFmtId="165" fontId="0" fillId="7" borderId="26" xfId="0" applyNumberFormat="1" applyFill="1" applyBorder="1"/>
    <xf numFmtId="0" fontId="35" fillId="6" borderId="27" xfId="0" applyFont="1" applyFill="1" applyBorder="1"/>
    <xf numFmtId="0" fontId="2" fillId="6" borderId="27" xfId="0" applyFont="1" applyFill="1" applyBorder="1"/>
    <xf numFmtId="165" fontId="2" fillId="6" borderId="27" xfId="0" applyNumberFormat="1" applyFont="1" applyFill="1" applyBorder="1"/>
    <xf numFmtId="0" fontId="35" fillId="8" borderId="27" xfId="0" applyFont="1" applyFill="1" applyBorder="1"/>
    <xf numFmtId="165" fontId="35" fillId="8" borderId="27" xfId="0" applyNumberFormat="1" applyFont="1" applyFill="1" applyBorder="1"/>
    <xf numFmtId="0" fontId="0" fillId="7" borderId="24" xfId="0" applyFill="1" applyBorder="1"/>
    <xf numFmtId="165" fontId="0" fillId="7" borderId="24" xfId="0" applyNumberFormat="1" applyFill="1" applyBorder="1"/>
    <xf numFmtId="0" fontId="0" fillId="6" borderId="24" xfId="0" applyFill="1" applyBorder="1"/>
    <xf numFmtId="2" fontId="0" fillId="6" borderId="24" xfId="0" applyNumberFormat="1" applyFill="1" applyBorder="1"/>
    <xf numFmtId="165" fontId="0" fillId="6" borderId="24" xfId="0" applyNumberFormat="1" applyFill="1" applyBorder="1"/>
    <xf numFmtId="0" fontId="35" fillId="7" borderId="27" xfId="0" applyFont="1" applyFill="1" applyBorder="1"/>
    <xf numFmtId="0" fontId="2" fillId="7" borderId="27" xfId="0" applyFont="1" applyFill="1" applyBorder="1"/>
    <xf numFmtId="165" fontId="2" fillId="7" borderId="27" xfId="0" applyNumberFormat="1" applyFont="1" applyFill="1" applyBorder="1"/>
    <xf numFmtId="10" fontId="46" fillId="7" borderId="24" xfId="1" applyNumberFormat="1" applyFont="1" applyFill="1" applyBorder="1"/>
    <xf numFmtId="2" fontId="35" fillId="8" borderId="27" xfId="0" applyNumberFormat="1" applyFont="1" applyFill="1" applyBorder="1"/>
    <xf numFmtId="0" fontId="35" fillId="8" borderId="0" xfId="0" applyFont="1" applyFill="1"/>
    <xf numFmtId="0" fontId="35" fillId="8" borderId="11" xfId="0" applyFont="1" applyFill="1" applyBorder="1"/>
    <xf numFmtId="165" fontId="35" fillId="8" borderId="11" xfId="0" applyNumberFormat="1" applyFont="1" applyFill="1" applyBorder="1"/>
    <xf numFmtId="10" fontId="0" fillId="7" borderId="0" xfId="1" applyNumberFormat="1" applyFont="1" applyFill="1"/>
    <xf numFmtId="0" fontId="4" fillId="4" borderId="24" xfId="0" applyFont="1" applyFill="1" applyBorder="1"/>
    <xf numFmtId="0" fontId="4" fillId="4" borderId="25" xfId="0" applyFont="1" applyFill="1" applyBorder="1"/>
    <xf numFmtId="165" fontId="4" fillId="4" borderId="25" xfId="0" applyNumberFormat="1" applyFont="1" applyFill="1" applyBorder="1"/>
    <xf numFmtId="0" fontId="45" fillId="0" borderId="25" xfId="0" applyFont="1" applyBorder="1"/>
    <xf numFmtId="0" fontId="53" fillId="0" borderId="25" xfId="0" applyFont="1" applyBorder="1"/>
    <xf numFmtId="10" fontId="0" fillId="7" borderId="25" xfId="1" applyNumberFormat="1" applyFont="1" applyFill="1" applyBorder="1"/>
    <xf numFmtId="2" fontId="0" fillId="6" borderId="26" xfId="0" applyNumberFormat="1" applyFill="1" applyBorder="1"/>
    <xf numFmtId="2" fontId="35" fillId="8" borderId="0" xfId="0" applyNumberFormat="1" applyFont="1" applyFill="1"/>
    <xf numFmtId="0" fontId="12" fillId="6" borderId="0" xfId="0" applyFont="1" applyFill="1"/>
    <xf numFmtId="2" fontId="0" fillId="7" borderId="25" xfId="0" applyNumberFormat="1" applyFill="1" applyBorder="1"/>
    <xf numFmtId="0" fontId="12" fillId="6" borderId="25" xfId="0" applyFont="1" applyFill="1" applyBorder="1"/>
    <xf numFmtId="0" fontId="35" fillId="0" borderId="25" xfId="0" applyFont="1" applyBorder="1"/>
    <xf numFmtId="0" fontId="2" fillId="0" borderId="25" xfId="0" applyFont="1" applyBorder="1"/>
    <xf numFmtId="2" fontId="12" fillId="6" borderId="25" xfId="0" applyNumberFormat="1" applyFont="1" applyFill="1" applyBorder="1"/>
    <xf numFmtId="2" fontId="2" fillId="0" borderId="25" xfId="0" applyNumberFormat="1" applyFont="1" applyBorder="1"/>
    <xf numFmtId="0" fontId="35" fillId="12" borderId="25" xfId="0" applyFont="1" applyFill="1" applyBorder="1"/>
    <xf numFmtId="2" fontId="2" fillId="12" borderId="25" xfId="0" applyNumberFormat="1" applyFont="1" applyFill="1" applyBorder="1"/>
    <xf numFmtId="1" fontId="0" fillId="6" borderId="25" xfId="0" applyNumberFormat="1" applyFill="1" applyBorder="1"/>
    <xf numFmtId="1" fontId="0" fillId="7" borderId="25" xfId="0" applyNumberFormat="1" applyFill="1" applyBorder="1"/>
    <xf numFmtId="0" fontId="35" fillId="8" borderId="26" xfId="0" applyFont="1" applyFill="1" applyBorder="1"/>
    <xf numFmtId="0" fontId="35" fillId="8" borderId="28" xfId="0" applyFont="1" applyFill="1" applyBorder="1"/>
    <xf numFmtId="2" fontId="35" fillId="8" borderId="28" xfId="0" applyNumberFormat="1" applyFont="1" applyFill="1" applyBorder="1"/>
    <xf numFmtId="0" fontId="47" fillId="6" borderId="25" xfId="0" applyFont="1" applyFill="1" applyBorder="1"/>
    <xf numFmtId="2" fontId="51" fillId="0" borderId="0" xfId="0" applyNumberFormat="1" applyFont="1"/>
    <xf numFmtId="2" fontId="12" fillId="7" borderId="24" xfId="0" applyNumberFormat="1" applyFont="1" applyFill="1" applyBorder="1"/>
    <xf numFmtId="2" fontId="12" fillId="7" borderId="25" xfId="0" applyNumberFormat="1" applyFont="1" applyFill="1" applyBorder="1"/>
    <xf numFmtId="2" fontId="12" fillId="6" borderId="26" xfId="0" applyNumberFormat="1" applyFont="1" applyFill="1" applyBorder="1"/>
    <xf numFmtId="10" fontId="13" fillId="7" borderId="24" xfId="1" applyNumberFormat="1" applyFont="1" applyFill="1" applyBorder="1"/>
    <xf numFmtId="10" fontId="12" fillId="7" borderId="24" xfId="1" applyNumberFormat="1" applyFont="1" applyFill="1" applyBorder="1"/>
    <xf numFmtId="10" fontId="13" fillId="6" borderId="25" xfId="1" applyNumberFormat="1" applyFont="1" applyFill="1" applyBorder="1"/>
    <xf numFmtId="10" fontId="12" fillId="6" borderId="25" xfId="1" applyNumberFormat="1" applyFont="1" applyFill="1" applyBorder="1"/>
    <xf numFmtId="10" fontId="13" fillId="7" borderId="25" xfId="1" applyNumberFormat="1" applyFont="1" applyFill="1" applyBorder="1"/>
    <xf numFmtId="10" fontId="12" fillId="7" borderId="25" xfId="1" applyNumberFormat="1" applyFont="1" applyFill="1" applyBorder="1"/>
    <xf numFmtId="10" fontId="13" fillId="6" borderId="26" xfId="1" applyNumberFormat="1" applyFont="1" applyFill="1" applyBorder="1"/>
    <xf numFmtId="10" fontId="12" fillId="6" borderId="26" xfId="1" applyNumberFormat="1" applyFont="1" applyFill="1" applyBorder="1"/>
    <xf numFmtId="10" fontId="35" fillId="8" borderId="26" xfId="0" applyNumberFormat="1" applyFont="1" applyFill="1" applyBorder="1"/>
    <xf numFmtId="0" fontId="57" fillId="5" borderId="0" xfId="0" applyFont="1" applyFill="1"/>
    <xf numFmtId="0" fontId="6" fillId="5" borderId="2" xfId="0" applyFont="1" applyFill="1" applyBorder="1"/>
    <xf numFmtId="164" fontId="8" fillId="7" borderId="0" xfId="1" applyNumberFormat="1" applyFont="1" applyFill="1"/>
    <xf numFmtId="0" fontId="12" fillId="7" borderId="0" xfId="0" applyFont="1" applyFill="1"/>
    <xf numFmtId="1" fontId="12" fillId="7" borderId="0" xfId="1" applyNumberFormat="1" applyFont="1" applyFill="1"/>
    <xf numFmtId="1" fontId="12" fillId="6" borderId="0" xfId="1" applyNumberFormat="1" applyFont="1" applyFill="1"/>
    <xf numFmtId="0" fontId="20" fillId="7" borderId="0" xfId="0" applyFont="1" applyFill="1"/>
    <xf numFmtId="10" fontId="3" fillId="6" borderId="0" xfId="0" applyNumberFormat="1" applyFont="1" applyFill="1" applyAlignment="1">
      <alignment horizontal="left"/>
    </xf>
    <xf numFmtId="0" fontId="21" fillId="6" borderId="0" xfId="0" applyFont="1" applyFill="1"/>
    <xf numFmtId="0" fontId="21" fillId="7" borderId="0" xfId="0" applyFont="1" applyFill="1"/>
    <xf numFmtId="0" fontId="3" fillId="6" borderId="3" xfId="0" applyFont="1" applyFill="1" applyBorder="1"/>
    <xf numFmtId="0" fontId="21" fillId="6" borderId="3" xfId="0" applyFont="1" applyFill="1" applyBorder="1"/>
    <xf numFmtId="0" fontId="8" fillId="7" borderId="24" xfId="0" applyFont="1" applyFill="1" applyBorder="1"/>
    <xf numFmtId="164" fontId="8" fillId="6" borderId="25" xfId="1" applyNumberFormat="1" applyFont="1" applyFill="1" applyBorder="1"/>
    <xf numFmtId="0" fontId="51" fillId="7" borderId="25" xfId="0" applyFont="1" applyFill="1" applyBorder="1"/>
    <xf numFmtId="164" fontId="51" fillId="7" borderId="25" xfId="1" applyNumberFormat="1" applyFont="1" applyFill="1" applyBorder="1"/>
    <xf numFmtId="9" fontId="0" fillId="6" borderId="25" xfId="1" applyFont="1" applyFill="1" applyBorder="1"/>
    <xf numFmtId="164" fontId="0" fillId="6" borderId="25" xfId="1" applyNumberFormat="1" applyFont="1" applyFill="1" applyBorder="1"/>
    <xf numFmtId="164" fontId="12" fillId="6" borderId="25" xfId="1" applyNumberFormat="1" applyFont="1" applyFill="1" applyBorder="1"/>
    <xf numFmtId="9" fontId="0" fillId="7" borderId="26" xfId="1" applyFont="1" applyFill="1" applyBorder="1"/>
    <xf numFmtId="164" fontId="0" fillId="7" borderId="26" xfId="1" applyNumberFormat="1" applyFont="1" applyFill="1" applyBorder="1"/>
    <xf numFmtId="164" fontId="12" fillId="7" borderId="26" xfId="1" applyNumberFormat="1" applyFont="1" applyFill="1" applyBorder="1"/>
    <xf numFmtId="164" fontId="0" fillId="6" borderId="24" xfId="1" applyNumberFormat="1" applyFont="1" applyFill="1" applyBorder="1"/>
    <xf numFmtId="164" fontId="12" fillId="6" borderId="24" xfId="1" applyNumberFormat="1" applyFont="1" applyFill="1" applyBorder="1"/>
    <xf numFmtId="164" fontId="8" fillId="7" borderId="25" xfId="1" applyNumberFormat="1" applyFont="1" applyFill="1" applyBorder="1"/>
    <xf numFmtId="164" fontId="0" fillId="7" borderId="25" xfId="0" applyNumberFormat="1" applyFill="1" applyBorder="1"/>
    <xf numFmtId="0" fontId="51" fillId="6" borderId="25" xfId="0" applyFont="1" applyFill="1" applyBorder="1"/>
    <xf numFmtId="164" fontId="51" fillId="6" borderId="25" xfId="1" applyNumberFormat="1" applyFont="1" applyFill="1" applyBorder="1"/>
    <xf numFmtId="164" fontId="0" fillId="7" borderId="25" xfId="1" applyNumberFormat="1" applyFont="1" applyFill="1" applyBorder="1"/>
    <xf numFmtId="164" fontId="12" fillId="7" borderId="25" xfId="1" applyNumberFormat="1" applyFont="1" applyFill="1" applyBorder="1"/>
    <xf numFmtId="164" fontId="0" fillId="6" borderId="26" xfId="1" applyNumberFormat="1" applyFont="1" applyFill="1" applyBorder="1"/>
    <xf numFmtId="164" fontId="12" fillId="6" borderId="26" xfId="1" applyNumberFormat="1" applyFont="1" applyFill="1" applyBorder="1"/>
    <xf numFmtId="10" fontId="8" fillId="7" borderId="25" xfId="0" applyNumberFormat="1" applyFont="1" applyFill="1" applyBorder="1"/>
    <xf numFmtId="10" fontId="12" fillId="6" borderId="25" xfId="0" applyNumberFormat="1" applyFont="1" applyFill="1" applyBorder="1"/>
    <xf numFmtId="164" fontId="12" fillId="7" borderId="25" xfId="0" applyNumberFormat="1" applyFont="1" applyFill="1" applyBorder="1"/>
    <xf numFmtId="167" fontId="16" fillId="0" borderId="25" xfId="0" applyNumberFormat="1" applyFont="1" applyBorder="1"/>
    <xf numFmtId="167" fontId="2" fillId="0" borderId="25" xfId="1" applyNumberFormat="1" applyFont="1" applyBorder="1"/>
    <xf numFmtId="10" fontId="16" fillId="0" borderId="25" xfId="0" applyNumberFormat="1" applyFont="1" applyBorder="1"/>
    <xf numFmtId="10" fontId="2" fillId="0" borderId="25" xfId="0" applyNumberFormat="1" applyFont="1" applyBorder="1"/>
    <xf numFmtId="164" fontId="35" fillId="8" borderId="26" xfId="0" applyNumberFormat="1" applyFont="1" applyFill="1" applyBorder="1"/>
    <xf numFmtId="0" fontId="58" fillId="5" borderId="0" xfId="0" applyFont="1" applyFill="1"/>
    <xf numFmtId="0" fontId="2" fillId="12" borderId="0" xfId="0" applyFont="1" applyFill="1"/>
    <xf numFmtId="2" fontId="2" fillId="6" borderId="0" xfId="0" applyNumberFormat="1" applyFont="1" applyFill="1"/>
    <xf numFmtId="0" fontId="9" fillId="6" borderId="0" xfId="0" applyFont="1" applyFill="1"/>
    <xf numFmtId="10" fontId="0" fillId="6" borderId="0" xfId="1" applyNumberFormat="1" applyFont="1" applyFill="1"/>
    <xf numFmtId="0" fontId="9" fillId="6" borderId="24" xfId="0" applyFont="1" applyFill="1" applyBorder="1"/>
    <xf numFmtId="0" fontId="9" fillId="7" borderId="25" xfId="0" applyFont="1" applyFill="1" applyBorder="1"/>
    <xf numFmtId="0" fontId="9" fillId="6" borderId="25" xfId="0" applyFont="1" applyFill="1" applyBorder="1"/>
    <xf numFmtId="2" fontId="2" fillId="6" borderId="25" xfId="0" applyNumberFormat="1" applyFont="1" applyFill="1" applyBorder="1"/>
    <xf numFmtId="0" fontId="0" fillId="0" borderId="25" xfId="0" applyBorder="1"/>
    <xf numFmtId="165" fontId="0" fillId="0" borderId="25" xfId="0" applyNumberFormat="1" applyBorder="1"/>
    <xf numFmtId="0" fontId="35" fillId="12" borderId="26" xfId="0" applyFont="1" applyFill="1" applyBorder="1"/>
    <xf numFmtId="165" fontId="35" fillId="12" borderId="26" xfId="0" applyNumberFormat="1" applyFont="1" applyFill="1" applyBorder="1"/>
    <xf numFmtId="0" fontId="12" fillId="7" borderId="25" xfId="0" applyFont="1" applyFill="1" applyBorder="1"/>
    <xf numFmtId="10" fontId="9" fillId="7" borderId="25" xfId="0" applyNumberFormat="1" applyFont="1" applyFill="1" applyBorder="1"/>
    <xf numFmtId="167" fontId="9" fillId="7" borderId="25" xfId="0" applyNumberFormat="1" applyFont="1" applyFill="1" applyBorder="1"/>
    <xf numFmtId="165" fontId="9" fillId="7" borderId="25" xfId="0" applyNumberFormat="1" applyFont="1" applyFill="1" applyBorder="1"/>
    <xf numFmtId="166" fontId="0" fillId="6" borderId="25" xfId="0" applyNumberFormat="1" applyFill="1" applyBorder="1"/>
    <xf numFmtId="166" fontId="0" fillId="7" borderId="25" xfId="0" applyNumberFormat="1" applyFill="1" applyBorder="1"/>
    <xf numFmtId="10" fontId="0" fillId="6" borderId="26" xfId="1" applyNumberFormat="1" applyFont="1" applyFill="1" applyBorder="1"/>
    <xf numFmtId="2" fontId="9" fillId="6" borderId="0" xfId="0" applyNumberFormat="1" applyFont="1" applyFill="1"/>
    <xf numFmtId="164" fontId="9" fillId="7" borderId="0" xfId="1" applyNumberFormat="1" applyFont="1" applyFill="1"/>
    <xf numFmtId="164" fontId="9" fillId="6" borderId="0" xfId="1" applyNumberFormat="1" applyFont="1" applyFill="1"/>
    <xf numFmtId="0" fontId="45" fillId="14" borderId="0" xfId="0" applyFont="1" applyFill="1"/>
    <xf numFmtId="2" fontId="2" fillId="7" borderId="0" xfId="0" applyNumberFormat="1" applyFont="1" applyFill="1"/>
    <xf numFmtId="164" fontId="4" fillId="5" borderId="32" xfId="1" applyNumberFormat="1" applyFont="1" applyFill="1" applyBorder="1" applyAlignment="1">
      <alignment horizontal="center"/>
    </xf>
    <xf numFmtId="2" fontId="0" fillId="7" borderId="33" xfId="0" applyNumberFormat="1" applyFill="1" applyBorder="1" applyAlignment="1">
      <alignment horizontal="center"/>
    </xf>
    <xf numFmtId="2" fontId="0" fillId="7" borderId="34" xfId="0" applyNumberFormat="1" applyFill="1" applyBorder="1" applyAlignment="1">
      <alignment horizontal="center"/>
    </xf>
    <xf numFmtId="2" fontId="0" fillId="6" borderId="33" xfId="0" applyNumberFormat="1" applyFill="1" applyBorder="1" applyAlignment="1">
      <alignment horizontal="center"/>
    </xf>
    <xf numFmtId="2" fontId="0" fillId="6" borderId="34" xfId="0" applyNumberFormat="1" applyFill="1" applyBorder="1" applyAlignment="1">
      <alignment horizontal="center"/>
    </xf>
    <xf numFmtId="2" fontId="2" fillId="12" borderId="33" xfId="0" applyNumberFormat="1" applyFont="1" applyFill="1" applyBorder="1" applyAlignment="1">
      <alignment horizontal="center"/>
    </xf>
    <xf numFmtId="164" fontId="4" fillId="5" borderId="38" xfId="1" applyNumberFormat="1" applyFont="1" applyFill="1" applyBorder="1" applyAlignment="1">
      <alignment horizontal="center"/>
    </xf>
    <xf numFmtId="2" fontId="0" fillId="7" borderId="39" xfId="0" applyNumberFormat="1" applyFill="1" applyBorder="1" applyAlignment="1">
      <alignment horizontal="center"/>
    </xf>
    <xf numFmtId="2" fontId="0" fillId="7" borderId="40" xfId="0" applyNumberFormat="1" applyFill="1" applyBorder="1" applyAlignment="1">
      <alignment horizontal="center"/>
    </xf>
    <xf numFmtId="2" fontId="4" fillId="5" borderId="41" xfId="0" applyNumberFormat="1" applyFont="1" applyFill="1" applyBorder="1" applyAlignment="1">
      <alignment horizontal="center"/>
    </xf>
    <xf numFmtId="10" fontId="4" fillId="5" borderId="42" xfId="0" applyNumberFormat="1" applyFont="1" applyFill="1" applyBorder="1" applyAlignment="1">
      <alignment horizontal="center"/>
    </xf>
    <xf numFmtId="10" fontId="4" fillId="5" borderId="43" xfId="0" applyNumberFormat="1" applyFont="1" applyFill="1" applyBorder="1" applyAlignment="1">
      <alignment horizontal="center"/>
    </xf>
    <xf numFmtId="0" fontId="0" fillId="0" borderId="24" xfId="0" applyBorder="1"/>
    <xf numFmtId="2" fontId="0" fillId="0" borderId="24" xfId="0" applyNumberFormat="1" applyBorder="1"/>
    <xf numFmtId="2" fontId="0" fillId="0" borderId="25" xfId="0" applyNumberFormat="1" applyBorder="1"/>
    <xf numFmtId="0" fontId="52" fillId="12" borderId="26" xfId="0" applyFont="1" applyFill="1" applyBorder="1"/>
    <xf numFmtId="2" fontId="52" fillId="12" borderId="26" xfId="0" applyNumberFormat="1" applyFont="1" applyFill="1" applyBorder="1"/>
    <xf numFmtId="2" fontId="4" fillId="4" borderId="0" xfId="0" applyNumberFormat="1" applyFont="1" applyFill="1"/>
    <xf numFmtId="2" fontId="0" fillId="7" borderId="0" xfId="0" applyNumberFormat="1" applyFill="1" applyAlignment="1">
      <alignment horizontal="right"/>
    </xf>
    <xf numFmtId="2" fontId="0" fillId="6" borderId="0" xfId="0" applyNumberFormat="1" applyFill="1" applyAlignment="1">
      <alignment horizontal="right"/>
    </xf>
    <xf numFmtId="168" fontId="45" fillId="14" borderId="0" xfId="0" applyNumberFormat="1" applyFont="1" applyFill="1" applyAlignment="1">
      <alignment horizontal="center"/>
    </xf>
    <xf numFmtId="0" fontId="16" fillId="12" borderId="0" xfId="0" applyFont="1" applyFill="1"/>
    <xf numFmtId="164" fontId="16" fillId="12" borderId="0" xfId="0" applyNumberFormat="1" applyFont="1" applyFill="1" applyAlignment="1">
      <alignment horizontal="center"/>
    </xf>
    <xf numFmtId="0" fontId="4" fillId="5" borderId="29" xfId="0" applyFont="1" applyFill="1" applyBorder="1" applyAlignment="1">
      <alignment horizontal="center"/>
    </xf>
    <xf numFmtId="0" fontId="4" fillId="5" borderId="30" xfId="0" applyFont="1" applyFill="1" applyBorder="1" applyAlignment="1">
      <alignment horizontal="center"/>
    </xf>
    <xf numFmtId="0" fontId="4" fillId="5" borderId="31" xfId="0" applyFont="1" applyFill="1" applyBorder="1" applyAlignment="1">
      <alignment horizontal="center"/>
    </xf>
    <xf numFmtId="0" fontId="4" fillId="4" borderId="32" xfId="0" applyFont="1" applyFill="1" applyBorder="1"/>
    <xf numFmtId="0" fontId="4" fillId="4" borderId="33" xfId="0" applyFont="1" applyFill="1" applyBorder="1"/>
    <xf numFmtId="0" fontId="59" fillId="4" borderId="33" xfId="0" applyFont="1" applyFill="1" applyBorder="1"/>
    <xf numFmtId="0" fontId="4" fillId="4" borderId="34" xfId="0" applyFont="1" applyFill="1" applyBorder="1"/>
    <xf numFmtId="0" fontId="35" fillId="6" borderId="32" xfId="0" applyFont="1" applyFill="1" applyBorder="1"/>
    <xf numFmtId="0" fontId="0" fillId="6" borderId="33" xfId="0" applyFill="1" applyBorder="1"/>
    <xf numFmtId="2" fontId="0" fillId="6" borderId="33" xfId="0" applyNumberFormat="1" applyFill="1" applyBorder="1"/>
    <xf numFmtId="0" fontId="0" fillId="6" borderId="34" xfId="0" applyFill="1" applyBorder="1"/>
    <xf numFmtId="0" fontId="35" fillId="7" borderId="32" xfId="0" applyFont="1" applyFill="1" applyBorder="1"/>
    <xf numFmtId="0" fontId="0" fillId="7" borderId="33" xfId="0" applyFill="1" applyBorder="1"/>
    <xf numFmtId="2" fontId="0" fillId="7" borderId="33" xfId="0" applyNumberFormat="1" applyFill="1" applyBorder="1"/>
    <xf numFmtId="0" fontId="0" fillId="7" borderId="34" xfId="0" applyFill="1" applyBorder="1"/>
    <xf numFmtId="2" fontId="0" fillId="7" borderId="33" xfId="0" applyNumberFormat="1" applyFill="1" applyBorder="1" applyAlignment="1">
      <alignment horizontal="right"/>
    </xf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35" fillId="7" borderId="35" xfId="0" applyFont="1" applyFill="1" applyBorder="1"/>
    <xf numFmtId="0" fontId="0" fillId="7" borderId="36" xfId="0" applyFill="1" applyBorder="1"/>
    <xf numFmtId="2" fontId="0" fillId="7" borderId="36" xfId="0" applyNumberFormat="1" applyFill="1" applyBorder="1"/>
    <xf numFmtId="0" fontId="0" fillId="7" borderId="37" xfId="0" applyFill="1" applyBorder="1"/>
    <xf numFmtId="0" fontId="23" fillId="7" borderId="32" xfId="0" applyFont="1" applyFill="1" applyBorder="1"/>
    <xf numFmtId="168" fontId="23" fillId="7" borderId="33" xfId="0" applyNumberFormat="1" applyFont="1" applyFill="1" applyBorder="1" applyAlignment="1">
      <alignment horizontal="center"/>
    </xf>
    <xf numFmtId="9" fontId="24" fillId="7" borderId="33" xfId="0" applyNumberFormat="1" applyFont="1" applyFill="1" applyBorder="1" applyAlignment="1">
      <alignment horizontal="center"/>
    </xf>
    <xf numFmtId="168" fontId="23" fillId="7" borderId="34" xfId="0" applyNumberFormat="1" applyFont="1" applyFill="1" applyBorder="1" applyAlignment="1">
      <alignment horizontal="center"/>
    </xf>
    <xf numFmtId="0" fontId="23" fillId="6" borderId="32" xfId="0" applyFont="1" applyFill="1" applyBorder="1"/>
    <xf numFmtId="168" fontId="23" fillId="6" borderId="33" xfId="0" applyNumberFormat="1" applyFont="1" applyFill="1" applyBorder="1" applyAlignment="1">
      <alignment horizontal="center"/>
    </xf>
    <xf numFmtId="9" fontId="24" fillId="6" borderId="33" xfId="0" applyNumberFormat="1" applyFont="1" applyFill="1" applyBorder="1" applyAlignment="1">
      <alignment horizontal="center"/>
    </xf>
    <xf numFmtId="168" fontId="23" fillId="6" borderId="34" xfId="0" applyNumberFormat="1" applyFont="1" applyFill="1" applyBorder="1" applyAlignment="1">
      <alignment horizontal="center"/>
    </xf>
    <xf numFmtId="0" fontId="25" fillId="0" borderId="35" xfId="0" applyFont="1" applyBorder="1"/>
    <xf numFmtId="0" fontId="0" fillId="0" borderId="36" xfId="0" applyBorder="1"/>
    <xf numFmtId="9" fontId="25" fillId="0" borderId="36" xfId="0" applyNumberFormat="1" applyFont="1" applyBorder="1" applyAlignment="1">
      <alignment horizontal="center"/>
    </xf>
    <xf numFmtId="0" fontId="0" fillId="0" borderId="37" xfId="0" applyBorder="1"/>
    <xf numFmtId="0" fontId="35" fillId="8" borderId="38" xfId="0" applyFont="1" applyFill="1" applyBorder="1"/>
    <xf numFmtId="0" fontId="35" fillId="8" borderId="39" xfId="0" applyFont="1" applyFill="1" applyBorder="1"/>
    <xf numFmtId="168" fontId="35" fillId="8" borderId="40" xfId="0" applyNumberFormat="1" applyFont="1" applyFill="1" applyBorder="1" applyAlignment="1">
      <alignment horizontal="center"/>
    </xf>
    <xf numFmtId="0" fontId="0" fillId="6" borderId="0" xfId="0" applyFill="1" applyAlignment="1">
      <alignment horizontal="right"/>
    </xf>
    <xf numFmtId="0" fontId="26" fillId="6" borderId="0" xfId="0" applyFont="1" applyFill="1" applyAlignment="1">
      <alignment horizontal="center"/>
    </xf>
    <xf numFmtId="9" fontId="26" fillId="6" borderId="0" xfId="0" applyNumberFormat="1" applyFont="1" applyFill="1" applyAlignment="1">
      <alignment horizontal="center"/>
    </xf>
    <xf numFmtId="9" fontId="0" fillId="7" borderId="0" xfId="0" applyNumberFormat="1" applyFill="1"/>
    <xf numFmtId="0" fontId="25" fillId="7" borderId="0" xfId="0" applyFont="1" applyFill="1" applyAlignment="1">
      <alignment horizontal="center"/>
    </xf>
    <xf numFmtId="0" fontId="27" fillId="7" borderId="0" xfId="0" applyFont="1" applyFill="1" applyAlignment="1">
      <alignment horizontal="center"/>
    </xf>
    <xf numFmtId="0" fontId="6" fillId="5" borderId="29" xfId="0" applyFont="1" applyFill="1" applyBorder="1" applyAlignment="1">
      <alignment horizontal="center"/>
    </xf>
    <xf numFmtId="0" fontId="6" fillId="5" borderId="30" xfId="0" applyFont="1" applyFill="1" applyBorder="1" applyAlignment="1">
      <alignment horizontal="center"/>
    </xf>
    <xf numFmtId="0" fontId="6" fillId="5" borderId="31" xfId="0" applyFont="1" applyFill="1" applyBorder="1" applyAlignment="1">
      <alignment horizontal="center"/>
    </xf>
    <xf numFmtId="0" fontId="3" fillId="6" borderId="32" xfId="0" applyFont="1" applyFill="1" applyBorder="1"/>
    <xf numFmtId="0" fontId="3" fillId="6" borderId="33" xfId="0" applyFont="1" applyFill="1" applyBorder="1"/>
    <xf numFmtId="10" fontId="3" fillId="6" borderId="33" xfId="0" applyNumberFormat="1" applyFont="1" applyFill="1" applyBorder="1" applyAlignment="1">
      <alignment horizontal="right"/>
    </xf>
    <xf numFmtId="0" fontId="3" fillId="6" borderId="34" xfId="0" applyFont="1" applyFill="1" applyBorder="1"/>
    <xf numFmtId="0" fontId="3" fillId="7" borderId="32" xfId="0" applyFont="1" applyFill="1" applyBorder="1"/>
    <xf numFmtId="0" fontId="3" fillId="7" borderId="33" xfId="0" applyFont="1" applyFill="1" applyBorder="1"/>
    <xf numFmtId="0" fontId="3" fillId="7" borderId="33" xfId="0" applyFont="1" applyFill="1" applyBorder="1" applyAlignment="1">
      <alignment horizontal="right"/>
    </xf>
    <xf numFmtId="0" fontId="3" fillId="7" borderId="34" xfId="0" applyFont="1" applyFill="1" applyBorder="1"/>
    <xf numFmtId="0" fontId="3" fillId="0" borderId="32" xfId="0" applyFont="1" applyBorder="1"/>
    <xf numFmtId="0" fontId="3" fillId="0" borderId="33" xfId="0" applyFont="1" applyBorder="1"/>
    <xf numFmtId="10" fontId="3" fillId="0" borderId="33" xfId="0" applyNumberFormat="1" applyFont="1" applyBorder="1" applyAlignment="1">
      <alignment horizontal="right"/>
    </xf>
    <xf numFmtId="0" fontId="3" fillId="0" borderId="34" xfId="0" applyFont="1" applyBorder="1"/>
    <xf numFmtId="0" fontId="3" fillId="6" borderId="33" xfId="0" applyFont="1" applyFill="1" applyBorder="1" applyAlignment="1">
      <alignment horizontal="right"/>
    </xf>
    <xf numFmtId="0" fontId="6" fillId="4" borderId="32" xfId="0" applyFont="1" applyFill="1" applyBorder="1"/>
    <xf numFmtId="0" fontId="6" fillId="4" borderId="33" xfId="0" applyFont="1" applyFill="1" applyBorder="1"/>
    <xf numFmtId="0" fontId="6" fillId="4" borderId="33" xfId="0" applyFont="1" applyFill="1" applyBorder="1" applyAlignment="1">
      <alignment horizontal="right"/>
    </xf>
    <xf numFmtId="0" fontId="6" fillId="4" borderId="34" xfId="0" applyFont="1" applyFill="1" applyBorder="1"/>
    <xf numFmtId="17" fontId="3" fillId="7" borderId="33" xfId="0" applyNumberFormat="1" applyFont="1" applyFill="1" applyBorder="1"/>
    <xf numFmtId="0" fontId="10" fillId="7" borderId="34" xfId="0" applyFont="1" applyFill="1" applyBorder="1"/>
    <xf numFmtId="0" fontId="3" fillId="6" borderId="35" xfId="0" applyFont="1" applyFill="1" applyBorder="1"/>
    <xf numFmtId="17" fontId="3" fillId="6" borderId="36" xfId="0" applyNumberFormat="1" applyFont="1" applyFill="1" applyBorder="1"/>
    <xf numFmtId="0" fontId="3" fillId="6" borderId="36" xfId="0" applyFont="1" applyFill="1" applyBorder="1"/>
    <xf numFmtId="10" fontId="3" fillId="6" borderId="36" xfId="0" applyNumberFormat="1" applyFont="1" applyFill="1" applyBorder="1" applyAlignment="1">
      <alignment horizontal="right"/>
    </xf>
    <xf numFmtId="0" fontId="3" fillId="6" borderId="37" xfId="0" applyFont="1" applyFill="1" applyBorder="1"/>
    <xf numFmtId="0" fontId="23" fillId="7" borderId="35" xfId="0" applyFont="1" applyFill="1" applyBorder="1"/>
    <xf numFmtId="168" fontId="23" fillId="7" borderId="36" xfId="0" applyNumberFormat="1" applyFont="1" applyFill="1" applyBorder="1" applyAlignment="1">
      <alignment horizontal="center"/>
    </xf>
    <xf numFmtId="9" fontId="24" fillId="7" borderId="36" xfId="0" applyNumberFormat="1" applyFont="1" applyFill="1" applyBorder="1" applyAlignment="1">
      <alignment horizontal="center"/>
    </xf>
    <xf numFmtId="168" fontId="23" fillId="7" borderId="37" xfId="0" applyNumberFormat="1" applyFont="1" applyFill="1" applyBorder="1" applyAlignment="1">
      <alignment horizontal="center"/>
    </xf>
    <xf numFmtId="0" fontId="16" fillId="12" borderId="44" xfId="0" applyFont="1" applyFill="1" applyBorder="1"/>
    <xf numFmtId="0" fontId="2" fillId="12" borderId="45" xfId="0" applyFont="1" applyFill="1" applyBorder="1"/>
    <xf numFmtId="164" fontId="16" fillId="12" borderId="46" xfId="0" applyNumberFormat="1" applyFont="1" applyFill="1" applyBorder="1" applyAlignment="1">
      <alignment horizontal="center"/>
    </xf>
    <xf numFmtId="0" fontId="4" fillId="4" borderId="0" xfId="0" applyFont="1" applyFill="1"/>
    <xf numFmtId="0" fontId="38" fillId="6" borderId="0" xfId="0" applyFont="1" applyFill="1" applyAlignment="1">
      <alignment horizontal="left" vertical="top" wrapText="1"/>
    </xf>
    <xf numFmtId="0" fontId="38" fillId="7" borderId="0" xfId="0" applyFont="1" applyFill="1" applyAlignment="1">
      <alignment horizontal="left" vertical="top" wrapText="1"/>
    </xf>
    <xf numFmtId="0" fontId="4" fillId="4" borderId="0" xfId="0" applyFont="1" applyFill="1" applyAlignment="1">
      <alignment horizontal="center"/>
    </xf>
    <xf numFmtId="0" fontId="38" fillId="6" borderId="10" xfId="0" applyFont="1" applyFill="1" applyBorder="1" applyAlignment="1">
      <alignment horizontal="left" vertical="top" wrapText="1"/>
    </xf>
    <xf numFmtId="0" fontId="3" fillId="7" borderId="0" xfId="0" applyFont="1" applyFill="1" applyAlignment="1">
      <alignment horizontal="left" wrapText="1"/>
    </xf>
    <xf numFmtId="0" fontId="3" fillId="6" borderId="0" xfId="0" applyFont="1" applyFill="1" applyAlignment="1">
      <alignment horizontal="left" vertical="top" wrapText="1"/>
    </xf>
    <xf numFmtId="0" fontId="3" fillId="7" borderId="0" xfId="0" applyFont="1" applyFill="1" applyAlignment="1">
      <alignment horizontal="left" vertical="top" wrapText="1"/>
    </xf>
    <xf numFmtId="0" fontId="38" fillId="7" borderId="10" xfId="0" applyFont="1" applyFill="1" applyBorder="1" applyAlignment="1">
      <alignment horizontal="left" vertical="top" wrapText="1"/>
    </xf>
    <xf numFmtId="0" fontId="6" fillId="5" borderId="47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38" fillId="7" borderId="14" xfId="0" applyFont="1" applyFill="1" applyBorder="1" applyAlignment="1">
      <alignment horizontal="lef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10/relationships/person" Target="persons/person0.xml"/><Relationship Id="rId3" Type="http://schemas.openxmlformats.org/officeDocument/2006/relationships/worksheet" Target="worksheets/sheet3.xml"/><Relationship Id="rId21" Type="http://schemas.microsoft.com/office/2017/10/relationships/person" Target="persons/person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microsoft.com/office/2017/10/relationships/person" Target="persons/pers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457200</xdr:colOff>
      <xdr:row>37</xdr:row>
      <xdr:rowOff>30480</xdr:rowOff>
    </xdr:from>
    <xdr:to>
      <xdr:col>0</xdr:col>
      <xdr:colOff>723900</xdr:colOff>
      <xdr:row>41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6FE3885-38E3-05B2-96BD-F8DDCC54CBB5}"/>
            </a:ext>
          </a:extLst>
        </xdr:cNvPr>
        <xdr:cNvSpPr txBox="1"/>
      </xdr:nvSpPr>
      <xdr:spPr>
        <a:xfrm rot="16200000">
          <a:off x="163830" y="7730490"/>
          <a:ext cx="853440" cy="266700"/>
        </a:xfrm>
        <a:prstGeom prst="rect">
          <a:avLst/>
        </a:prstGeom>
        <a:solidFill>
          <a:schemeClr val="accent5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 i="1">
              <a:solidFill>
                <a:schemeClr val="bg1"/>
              </a:solidFill>
            </a:rPr>
            <a:t>W A C C  --&gt;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1345662</xdr:colOff>
      <xdr:row>31</xdr:row>
      <xdr:rowOff>16212</xdr:rowOff>
    </xdr:from>
    <xdr:to>
      <xdr:col>0</xdr:col>
      <xdr:colOff>1612362</xdr:colOff>
      <xdr:row>36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83B5A16-D7A2-4556-80DF-06023E916DA5}"/>
            </a:ext>
          </a:extLst>
        </xdr:cNvPr>
        <xdr:cNvSpPr txBox="1"/>
      </xdr:nvSpPr>
      <xdr:spPr>
        <a:xfrm rot="16200000">
          <a:off x="1021001" y="6250426"/>
          <a:ext cx="916022" cy="266700"/>
        </a:xfrm>
        <a:prstGeom prst="rect">
          <a:avLst/>
        </a:prstGeom>
        <a:solidFill>
          <a:schemeClr val="accent5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 i="1">
              <a:solidFill>
                <a:schemeClr val="bg1"/>
              </a:solidFill>
            </a:rPr>
            <a:t>Entry</a:t>
          </a:r>
          <a:r>
            <a:rPr lang="en-IN" sz="1100" b="1" i="1" baseline="0">
              <a:solidFill>
                <a:schemeClr val="bg1"/>
              </a:solidFill>
            </a:rPr>
            <a:t> P/E --&gt;</a:t>
          </a:r>
          <a:endParaRPr lang="en-IN" sz="1100" b="1" i="1">
            <a:solidFill>
              <a:schemeClr val="bg1"/>
            </a:solidFill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3">
    <wetp:webextensionref xmlns:r="http://schemas.openxmlformats.org/officeDocument/2006/relationships" r:id="rId1"/>
  </wetp:taskpane>
  <wetp:taskpane dockstate="right" visibility="1" width="438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54335191-929E-4A04-87D8-6A4E203A2524}">
  <we:reference id="wa200009152" version="1.0.0.4" store="en-US" storeType="OMEX"/>
  <we:alternateReferences>
    <we:reference id="wa200009152" version="1.0.0.4" store="wa200009152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7D55C9BD-C1E5-489B-8AB3-9AB95B333474}">
  <we:reference id="wa200009404" version="1.0.0.5" store="en-US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AA623-3234-4E81-B276-1A589472BBE6}">
  <sheetPr>
    <tabColor rgb="FF1B3A5C"/>
  </sheetPr>
  <dimension ref="A1:B37"/>
  <sheetViews>
    <sheetView showGridLines="0" topLeftCell="A4" workbookViewId="0"/>
  </sheetViews>
  <sheetFormatPr defaultRowHeight="14.4" x14ac:dyDescent="0.3"/>
  <cols>
    <col min="1" max="1" width="46.33203125" customWidth="1"/>
    <col min="2" max="2" width="83.33203125" customWidth="1"/>
    <col min="3" max="8" width="14.77734375" customWidth="1"/>
  </cols>
  <sheetData>
    <row r="1" spans="1:2" ht="36" customHeight="1" x14ac:dyDescent="0.45">
      <c r="A1" s="164" t="s">
        <v>0</v>
      </c>
      <c r="B1" s="164"/>
    </row>
    <row r="2" spans="1:2" ht="22.05" customHeight="1" x14ac:dyDescent="0.3">
      <c r="A2" s="167" t="s">
        <v>462</v>
      </c>
      <c r="B2" s="167"/>
    </row>
    <row r="3" spans="1:2" ht="18" customHeight="1" x14ac:dyDescent="0.3">
      <c r="A3" s="168" t="s">
        <v>589</v>
      </c>
      <c r="B3" s="168"/>
    </row>
    <row r="5" spans="1:2" ht="22.05" customHeight="1" x14ac:dyDescent="0.3">
      <c r="A5" s="431" t="s">
        <v>1</v>
      </c>
      <c r="B5" s="431"/>
    </row>
    <row r="6" spans="1:2" x14ac:dyDescent="0.3">
      <c r="A6" s="3" t="s">
        <v>2</v>
      </c>
      <c r="B6" s="2" t="s">
        <v>7</v>
      </c>
    </row>
    <row r="7" spans="1:2" x14ac:dyDescent="0.3">
      <c r="A7" s="3" t="s">
        <v>3</v>
      </c>
      <c r="B7" s="2" t="s">
        <v>480</v>
      </c>
    </row>
    <row r="8" spans="1:2" x14ac:dyDescent="0.3">
      <c r="A8" s="3" t="s">
        <v>4</v>
      </c>
      <c r="B8" s="2" t="s">
        <v>638</v>
      </c>
    </row>
    <row r="9" spans="1:2" x14ac:dyDescent="0.3">
      <c r="A9" s="3" t="s">
        <v>5</v>
      </c>
      <c r="B9" s="2" t="s">
        <v>8</v>
      </c>
    </row>
    <row r="10" spans="1:2" x14ac:dyDescent="0.3">
      <c r="A10" s="3" t="s">
        <v>6</v>
      </c>
      <c r="B10" s="2" t="s">
        <v>9</v>
      </c>
    </row>
    <row r="12" spans="1:2" ht="22.05" customHeight="1" x14ac:dyDescent="0.3">
      <c r="A12" s="40" t="s">
        <v>10</v>
      </c>
      <c r="B12" s="40"/>
    </row>
    <row r="13" spans="1:2" x14ac:dyDescent="0.3">
      <c r="A13" s="3" t="s">
        <v>11</v>
      </c>
      <c r="B13" s="2" t="s">
        <v>12</v>
      </c>
    </row>
    <row r="14" spans="1:2" x14ac:dyDescent="0.3">
      <c r="A14" s="2"/>
      <c r="B14" s="2" t="s">
        <v>477</v>
      </c>
    </row>
    <row r="15" spans="1:2" x14ac:dyDescent="0.3">
      <c r="A15" s="2"/>
      <c r="B15" s="2" t="s">
        <v>13</v>
      </c>
    </row>
    <row r="16" spans="1:2" x14ac:dyDescent="0.3">
      <c r="A16" s="3" t="s">
        <v>14</v>
      </c>
      <c r="B16" s="2" t="s">
        <v>15</v>
      </c>
    </row>
    <row r="18" spans="1:2" ht="22.05" customHeight="1" x14ac:dyDescent="0.3">
      <c r="A18" s="40" t="s">
        <v>16</v>
      </c>
      <c r="B18" s="40"/>
    </row>
    <row r="19" spans="1:2" x14ac:dyDescent="0.3">
      <c r="A19" s="172" t="s">
        <v>17</v>
      </c>
      <c r="B19" s="172" t="s">
        <v>18</v>
      </c>
    </row>
    <row r="20" spans="1:2" x14ac:dyDescent="0.3">
      <c r="A20" s="173" t="s">
        <v>648</v>
      </c>
      <c r="B20" s="173" t="s">
        <v>647</v>
      </c>
    </row>
    <row r="21" spans="1:2" x14ac:dyDescent="0.3">
      <c r="A21" s="174" t="s">
        <v>649</v>
      </c>
      <c r="B21" s="174" t="s">
        <v>19</v>
      </c>
    </row>
    <row r="22" spans="1:2" x14ac:dyDescent="0.3">
      <c r="A22" s="173" t="s">
        <v>650</v>
      </c>
      <c r="B22" s="173" t="s">
        <v>20</v>
      </c>
    </row>
    <row r="23" spans="1:2" x14ac:dyDescent="0.3">
      <c r="A23" s="174" t="s">
        <v>651</v>
      </c>
      <c r="B23" s="174" t="s">
        <v>21</v>
      </c>
    </row>
    <row r="24" spans="1:2" x14ac:dyDescent="0.3">
      <c r="A24" s="173" t="s">
        <v>652</v>
      </c>
      <c r="B24" s="173" t="s">
        <v>22</v>
      </c>
    </row>
    <row r="25" spans="1:2" x14ac:dyDescent="0.3">
      <c r="A25" s="174" t="s">
        <v>23</v>
      </c>
      <c r="B25" s="174" t="s">
        <v>24</v>
      </c>
    </row>
    <row r="26" spans="1:2" x14ac:dyDescent="0.3">
      <c r="A26" s="173" t="s">
        <v>25</v>
      </c>
      <c r="B26" s="173" t="s">
        <v>26</v>
      </c>
    </row>
    <row r="27" spans="1:2" x14ac:dyDescent="0.3">
      <c r="A27" s="174" t="s">
        <v>27</v>
      </c>
      <c r="B27" s="174" t="s">
        <v>499</v>
      </c>
    </row>
    <row r="28" spans="1:2" x14ac:dyDescent="0.3">
      <c r="A28" s="173" t="s">
        <v>28</v>
      </c>
      <c r="B28" s="173" t="s">
        <v>483</v>
      </c>
    </row>
    <row r="29" spans="1:2" x14ac:dyDescent="0.3">
      <c r="A29" s="174" t="s">
        <v>29</v>
      </c>
      <c r="B29" s="174" t="s">
        <v>30</v>
      </c>
    </row>
    <row r="30" spans="1:2" x14ac:dyDescent="0.3">
      <c r="A30" s="173" t="s">
        <v>31</v>
      </c>
      <c r="B30" s="173" t="s">
        <v>32</v>
      </c>
    </row>
    <row r="31" spans="1:2" ht="15" thickBot="1" x14ac:dyDescent="0.35">
      <c r="A31" s="175" t="s">
        <v>33</v>
      </c>
      <c r="B31" s="175" t="s">
        <v>34</v>
      </c>
    </row>
    <row r="33" spans="1:2" ht="22.05" customHeight="1" x14ac:dyDescent="0.3">
      <c r="A33" s="40" t="s">
        <v>35</v>
      </c>
      <c r="B33" s="40"/>
    </row>
    <row r="34" spans="1:2" x14ac:dyDescent="0.3">
      <c r="A34" s="4" t="s">
        <v>36</v>
      </c>
      <c r="B34" s="4" t="s">
        <v>37</v>
      </c>
    </row>
    <row r="35" spans="1:2" x14ac:dyDescent="0.3">
      <c r="A35" s="5" t="s">
        <v>38</v>
      </c>
      <c r="B35" s="5" t="s">
        <v>39</v>
      </c>
    </row>
    <row r="36" spans="1:2" x14ac:dyDescent="0.3">
      <c r="A36" s="6" t="s">
        <v>40</v>
      </c>
      <c r="B36" s="6" t="s">
        <v>41</v>
      </c>
    </row>
    <row r="37" spans="1:2" x14ac:dyDescent="0.3">
      <c r="A37" s="171" t="s">
        <v>42</v>
      </c>
      <c r="B37" s="171" t="s">
        <v>43</v>
      </c>
    </row>
  </sheetData>
  <mergeCells count="1">
    <mergeCell ref="A5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2AECD-801B-45D7-9443-144CE80981F2}">
  <sheetPr>
    <tabColor rgb="FF1B3A5C"/>
  </sheetPr>
  <dimension ref="A1:O49"/>
  <sheetViews>
    <sheetView showGridLines="0" tabSelected="1" zoomScaleNormal="100" workbookViewId="0">
      <pane xSplit="1" ySplit="3" topLeftCell="B18" activePane="bottomRight" state="frozen"/>
      <selection pane="topRight" activeCell="B1" sqref="B1"/>
      <selection pane="bottomLeft" activeCell="A4" sqref="A4"/>
      <selection pane="bottomRight" activeCell="F32" sqref="F32"/>
    </sheetView>
  </sheetViews>
  <sheetFormatPr defaultRowHeight="14.4" x14ac:dyDescent="0.3"/>
  <cols>
    <col min="1" max="1" width="46.33203125" customWidth="1"/>
    <col min="2" max="10" width="17.5546875" customWidth="1"/>
    <col min="11" max="11" width="17" customWidth="1"/>
    <col min="12" max="12" width="17.33203125" customWidth="1"/>
    <col min="13" max="15" width="17" customWidth="1"/>
  </cols>
  <sheetData>
    <row r="1" spans="1:15" ht="28.05" customHeight="1" x14ac:dyDescent="0.35">
      <c r="A1" s="176" t="s">
        <v>378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</row>
    <row r="2" spans="1:15" x14ac:dyDescent="0.3">
      <c r="A2" s="37"/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</row>
    <row r="3" spans="1:15" x14ac:dyDescent="0.3">
      <c r="A3" s="37"/>
      <c r="B3" s="178" t="s">
        <v>45</v>
      </c>
      <c r="C3" s="178" t="s">
        <v>46</v>
      </c>
      <c r="D3" s="178" t="s">
        <v>47</v>
      </c>
      <c r="E3" s="178" t="s">
        <v>48</v>
      </c>
      <c r="F3" s="178" t="s">
        <v>49</v>
      </c>
      <c r="G3" s="178" t="s">
        <v>50</v>
      </c>
      <c r="H3" s="178" t="s">
        <v>51</v>
      </c>
      <c r="I3" s="178" t="s">
        <v>52</v>
      </c>
      <c r="J3" s="178" t="s">
        <v>53</v>
      </c>
      <c r="K3" s="178" t="s">
        <v>486</v>
      </c>
      <c r="L3" s="178" t="s">
        <v>487</v>
      </c>
      <c r="M3" s="178" t="s">
        <v>488</v>
      </c>
      <c r="N3" s="178" t="s">
        <v>489</v>
      </c>
      <c r="O3" s="178" t="s">
        <v>490</v>
      </c>
    </row>
    <row r="4" spans="1:15" ht="22.05" customHeight="1" x14ac:dyDescent="0.3">
      <c r="A4" s="40" t="s">
        <v>379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</row>
    <row r="5" spans="1:15" x14ac:dyDescent="0.3">
      <c r="A5" s="215" t="s">
        <v>380</v>
      </c>
      <c r="B5" s="215">
        <v>246</v>
      </c>
      <c r="C5" s="215">
        <v>435</v>
      </c>
      <c r="D5" s="215">
        <v>523</v>
      </c>
      <c r="E5" s="215">
        <v>650</v>
      </c>
      <c r="F5" s="253">
        <f t="shared" ref="F5:F12" si="0">E5*(1+F29)</f>
        <v>781.84542787930411</v>
      </c>
      <c r="G5" s="253">
        <f t="shared" ref="G5:O5" si="1">F5*(1+G29)</f>
        <v>936.03019268571563</v>
      </c>
      <c r="H5" s="253">
        <f t="shared" si="1"/>
        <v>1108.1478902807771</v>
      </c>
      <c r="I5" s="253">
        <f t="shared" si="1"/>
        <v>1303.9563208921445</v>
      </c>
      <c r="J5" s="253">
        <f t="shared" si="1"/>
        <v>1527.1374981666845</v>
      </c>
      <c r="K5" s="253">
        <f t="shared" si="1"/>
        <v>1775.1521165167867</v>
      </c>
      <c r="L5" s="253">
        <f t="shared" si="1"/>
        <v>2046.9952606709865</v>
      </c>
      <c r="M5" s="253">
        <f t="shared" si="1"/>
        <v>2345.0309131434633</v>
      </c>
      <c r="N5" s="253">
        <f t="shared" si="1"/>
        <v>2666.9554416783126</v>
      </c>
      <c r="O5" s="253">
        <f t="shared" si="1"/>
        <v>3025.0212906751408</v>
      </c>
    </row>
    <row r="6" spans="1:15" x14ac:dyDescent="0.3">
      <c r="A6" s="185" t="s">
        <v>381</v>
      </c>
      <c r="B6" s="185">
        <v>178</v>
      </c>
      <c r="C6" s="185">
        <v>316</v>
      </c>
      <c r="D6" s="185">
        <v>398</v>
      </c>
      <c r="E6" s="185">
        <v>460</v>
      </c>
      <c r="F6" s="242">
        <f t="shared" si="0"/>
        <v>551.89089026774252</v>
      </c>
      <c r="G6" s="242">
        <f t="shared" ref="G6:O6" si="2">F6*(1+G30)</f>
        <v>667.02151551428574</v>
      </c>
      <c r="H6" s="242">
        <f t="shared" si="2"/>
        <v>796.10624608618798</v>
      </c>
      <c r="I6" s="242">
        <f t="shared" si="2"/>
        <v>943.96837954155239</v>
      </c>
      <c r="J6" s="242">
        <f t="shared" si="2"/>
        <v>1112.1001296407001</v>
      </c>
      <c r="K6" s="242">
        <f t="shared" si="2"/>
        <v>1301.1114949793484</v>
      </c>
      <c r="L6" s="242">
        <f t="shared" si="2"/>
        <v>1511.9964993329368</v>
      </c>
      <c r="M6" s="242">
        <f t="shared" si="2"/>
        <v>1744.0229904145804</v>
      </c>
      <c r="N6" s="242">
        <f t="shared" si="2"/>
        <v>1995.9666522646833</v>
      </c>
      <c r="O6" s="242">
        <f t="shared" si="2"/>
        <v>2273.0159979188775</v>
      </c>
    </row>
    <row r="7" spans="1:15" x14ac:dyDescent="0.3">
      <c r="A7" s="186" t="s">
        <v>382</v>
      </c>
      <c r="B7" s="186">
        <v>43</v>
      </c>
      <c r="C7" s="186">
        <v>76</v>
      </c>
      <c r="D7" s="186">
        <v>110</v>
      </c>
      <c r="E7" s="186">
        <v>160</v>
      </c>
      <c r="F7" s="254">
        <f t="shared" si="0"/>
        <v>203.95967683807902</v>
      </c>
      <c r="G7" s="254">
        <f t="shared" ref="G7:O7" si="3">F7*(1+G31)</f>
        <v>258.00832234285747</v>
      </c>
      <c r="H7" s="254">
        <f t="shared" si="3"/>
        <v>324.04324589437852</v>
      </c>
      <c r="I7" s="254">
        <f t="shared" si="3"/>
        <v>401.98653450816209</v>
      </c>
      <c r="J7" s="254">
        <f t="shared" si="3"/>
        <v>493.04439200797259</v>
      </c>
      <c r="K7" s="254">
        <f t="shared" si="3"/>
        <v>597.05116256930648</v>
      </c>
      <c r="L7" s="254">
        <f t="shared" si="3"/>
        <v>711.9983515377362</v>
      </c>
      <c r="M7" s="254">
        <f t="shared" si="3"/>
        <v>837.01103381709208</v>
      </c>
      <c r="N7" s="254">
        <f t="shared" si="3"/>
        <v>970.98377722895987</v>
      </c>
      <c r="O7" s="254">
        <f t="shared" si="3"/>
        <v>1119.0078757902477</v>
      </c>
    </row>
    <row r="8" spans="1:15" x14ac:dyDescent="0.3">
      <c r="A8" s="185" t="s">
        <v>383</v>
      </c>
      <c r="B8" s="185">
        <v>68</v>
      </c>
      <c r="C8" s="185">
        <v>121</v>
      </c>
      <c r="D8" s="185">
        <v>146</v>
      </c>
      <c r="E8" s="185">
        <v>180</v>
      </c>
      <c r="F8" s="242">
        <f t="shared" si="0"/>
        <v>219.95651423714401</v>
      </c>
      <c r="G8" s="242">
        <f t="shared" ref="G8:O8" si="4">F8*(1+G32)</f>
        <v>266.00858040000014</v>
      </c>
      <c r="H8" s="242">
        <f t="shared" si="4"/>
        <v>318.04244504448224</v>
      </c>
      <c r="I8" s="242">
        <f t="shared" si="4"/>
        <v>378.98730492187343</v>
      </c>
      <c r="J8" s="242">
        <f t="shared" si="4"/>
        <v>446.04015990984948</v>
      </c>
      <c r="K8" s="242">
        <f t="shared" si="4"/>
        <v>522.04473511085234</v>
      </c>
      <c r="L8" s="242">
        <f t="shared" si="4"/>
        <v>606.99859463961252</v>
      </c>
      <c r="M8" s="242">
        <f t="shared" si="4"/>
        <v>700.00922780401856</v>
      </c>
      <c r="N8" s="242">
        <f t="shared" si="4"/>
        <v>800.98661746693858</v>
      </c>
      <c r="O8" s="242">
        <f t="shared" si="4"/>
        <v>912.00641887462155</v>
      </c>
    </row>
    <row r="9" spans="1:15" x14ac:dyDescent="0.3">
      <c r="A9" s="186" t="s">
        <v>384</v>
      </c>
      <c r="B9" s="186">
        <v>59</v>
      </c>
      <c r="C9" s="186">
        <v>106</v>
      </c>
      <c r="D9" s="186">
        <v>138</v>
      </c>
      <c r="E9" s="186">
        <v>175</v>
      </c>
      <c r="F9" s="254">
        <f t="shared" si="0"/>
        <v>214.95750254993609</v>
      </c>
      <c r="G9" s="254">
        <f t="shared" ref="G9:O9" si="5">F9*(1+G33)</f>
        <v>261.00841911428563</v>
      </c>
      <c r="H9" s="254">
        <f t="shared" si="5"/>
        <v>315.04204461953447</v>
      </c>
      <c r="I9" s="254">
        <f t="shared" si="5"/>
        <v>376.98737191437044</v>
      </c>
      <c r="J9" s="254">
        <f t="shared" si="5"/>
        <v>447.04024995449055</v>
      </c>
      <c r="K9" s="254">
        <f t="shared" si="5"/>
        <v>523.04482081029857</v>
      </c>
      <c r="L9" s="254">
        <f t="shared" si="5"/>
        <v>607.99859232435688</v>
      </c>
      <c r="M9" s="254">
        <f t="shared" si="5"/>
        <v>701.00924098659573</v>
      </c>
      <c r="N9" s="254">
        <f t="shared" si="5"/>
        <v>801.98660075965631</v>
      </c>
      <c r="O9" s="254">
        <f t="shared" si="5"/>
        <v>913.00642591286055</v>
      </c>
    </row>
    <row r="10" spans="1:15" x14ac:dyDescent="0.3">
      <c r="A10" s="185" t="s">
        <v>385</v>
      </c>
      <c r="B10" s="185">
        <v>27</v>
      </c>
      <c r="C10" s="185">
        <v>48</v>
      </c>
      <c r="D10" s="185">
        <v>62</v>
      </c>
      <c r="E10" s="185">
        <v>80</v>
      </c>
      <c r="F10" s="242">
        <f t="shared" si="0"/>
        <v>99.980233744156322</v>
      </c>
      <c r="G10" s="242">
        <f t="shared" ref="G10:O10" si="6">F10*(1+G34)</f>
        <v>124.00399988571428</v>
      </c>
      <c r="H10" s="242">
        <f t="shared" si="6"/>
        <v>152.02028819736267</v>
      </c>
      <c r="I10" s="242">
        <f t="shared" si="6"/>
        <v>183.99383669030252</v>
      </c>
      <c r="J10" s="242">
        <f t="shared" si="6"/>
        <v>220.01980982100193</v>
      </c>
      <c r="K10" s="242">
        <f t="shared" si="6"/>
        <v>261.02236755542611</v>
      </c>
      <c r="L10" s="242">
        <f t="shared" si="6"/>
        <v>306.99928921641066</v>
      </c>
      <c r="M10" s="242">
        <f t="shared" si="6"/>
        <v>357.00470618004954</v>
      </c>
      <c r="N10" s="242">
        <f t="shared" si="6"/>
        <v>410.99313330700573</v>
      </c>
      <c r="O10" s="242">
        <f t="shared" si="6"/>
        <v>470.00330797266628</v>
      </c>
    </row>
    <row r="11" spans="1:15" x14ac:dyDescent="0.3">
      <c r="A11" s="186" t="s">
        <v>386</v>
      </c>
      <c r="B11" s="186">
        <v>0</v>
      </c>
      <c r="C11" s="186">
        <v>0</v>
      </c>
      <c r="D11" s="186">
        <v>0</v>
      </c>
      <c r="E11" s="186">
        <v>88</v>
      </c>
      <c r="F11" s="254">
        <f t="shared" si="0"/>
        <v>132.97371087972797</v>
      </c>
      <c r="G11" s="254">
        <f t="shared" ref="G11:O11" si="7">F11*(1+G35)</f>
        <v>176.00567725714291</v>
      </c>
      <c r="H11" s="254">
        <f t="shared" si="7"/>
        <v>227.03029882106131</v>
      </c>
      <c r="I11" s="254">
        <f t="shared" si="7"/>
        <v>284.99045356921897</v>
      </c>
      <c r="J11" s="254">
        <f t="shared" si="7"/>
        <v>350.0315156243214</v>
      </c>
      <c r="K11" s="254">
        <f t="shared" si="7"/>
        <v>424.03633656513699</v>
      </c>
      <c r="L11" s="254">
        <f t="shared" si="7"/>
        <v>505.99882848046798</v>
      </c>
      <c r="M11" s="254">
        <f t="shared" si="7"/>
        <v>596.0078568159937</v>
      </c>
      <c r="N11" s="254">
        <f t="shared" si="7"/>
        <v>691.98843856070084</v>
      </c>
      <c r="O11" s="254">
        <f t="shared" si="7"/>
        <v>799.00562355353429</v>
      </c>
    </row>
    <row r="12" spans="1:15" x14ac:dyDescent="0.3">
      <c r="A12" s="201" t="s">
        <v>387</v>
      </c>
      <c r="B12" s="201">
        <v>63</v>
      </c>
      <c r="C12" s="201">
        <v>110</v>
      </c>
      <c r="D12" s="201">
        <v>161</v>
      </c>
      <c r="E12" s="201">
        <v>120</v>
      </c>
      <c r="F12" s="255">
        <f t="shared" si="0"/>
        <v>146.97094360390992</v>
      </c>
      <c r="G12" s="255">
        <f t="shared" ref="G12:O12" si="8">F12*(1+G36)</f>
        <v>182.00587080000017</v>
      </c>
      <c r="H12" s="255">
        <f t="shared" si="8"/>
        <v>218.02909754621766</v>
      </c>
      <c r="I12" s="255">
        <f t="shared" si="8"/>
        <v>257.99135796792484</v>
      </c>
      <c r="J12" s="255">
        <f t="shared" si="8"/>
        <v>302.02719348155733</v>
      </c>
      <c r="K12" s="255">
        <f t="shared" si="8"/>
        <v>351.03008050557361</v>
      </c>
      <c r="L12" s="255">
        <f t="shared" si="8"/>
        <v>404.99906232132372</v>
      </c>
      <c r="M12" s="255">
        <f t="shared" si="8"/>
        <v>463.00610353322992</v>
      </c>
      <c r="N12" s="255">
        <f t="shared" si="8"/>
        <v>525.99121196955082</v>
      </c>
      <c r="O12" s="255">
        <f t="shared" si="8"/>
        <v>596.00419479087145</v>
      </c>
    </row>
    <row r="14" spans="1:15" x14ac:dyDescent="0.3">
      <c r="A14" s="226" t="s">
        <v>388</v>
      </c>
      <c r="B14" s="226">
        <f t="shared" ref="B14:J14" si="9">SUM(B5:B12)</f>
        <v>684</v>
      </c>
      <c r="C14" s="226">
        <f t="shared" si="9"/>
        <v>1212</v>
      </c>
      <c r="D14" s="226">
        <f t="shared" si="9"/>
        <v>1538</v>
      </c>
      <c r="E14" s="226">
        <f t="shared" si="9"/>
        <v>1913</v>
      </c>
      <c r="F14" s="227">
        <f t="shared" si="9"/>
        <v>2352.5349000000001</v>
      </c>
      <c r="G14" s="227">
        <f t="shared" si="9"/>
        <v>2870.0925780000016</v>
      </c>
      <c r="H14" s="227">
        <f t="shared" si="9"/>
        <v>3458.4615564900023</v>
      </c>
      <c r="I14" s="227">
        <f t="shared" si="9"/>
        <v>4132.8615600055491</v>
      </c>
      <c r="J14" s="227">
        <f t="shared" si="9"/>
        <v>4897.4409486065779</v>
      </c>
      <c r="K14" s="227">
        <f>SUM(K5:K12)</f>
        <v>5754.493114612731</v>
      </c>
      <c r="L14" s="227">
        <f>SUM(L5:L12)</f>
        <v>6703.9844785238311</v>
      </c>
      <c r="M14" s="227">
        <f>SUM(M5:M12)</f>
        <v>7743.1020726950228</v>
      </c>
      <c r="N14" s="227">
        <f>SUM(N5:N12)</f>
        <v>8865.8518732358079</v>
      </c>
      <c r="O14" s="227">
        <f>SUM(O5:O12)</f>
        <v>10107.071135488819</v>
      </c>
    </row>
    <row r="15" spans="1:15" x14ac:dyDescent="0.3">
      <c r="A15" s="62" t="s">
        <v>460</v>
      </c>
      <c r="B15" s="252">
        <f>B14-Assumptions!B5</f>
        <v>-2.2000000000000455</v>
      </c>
      <c r="C15" s="252">
        <f>C14-Assumptions!C5</f>
        <v>0.10999999999989996</v>
      </c>
      <c r="D15" s="252">
        <f>D14-Assumptions!D5</f>
        <v>0.85999999999989996</v>
      </c>
      <c r="E15" s="252">
        <f>E14-Assumptions!E5</f>
        <v>0.36999999999989086</v>
      </c>
      <c r="F15" s="62"/>
      <c r="G15" s="62"/>
      <c r="H15" s="62"/>
      <c r="I15" s="62"/>
      <c r="J15" s="62"/>
      <c r="K15" s="62"/>
      <c r="L15" s="62"/>
      <c r="M15" s="62"/>
      <c r="N15" s="62"/>
      <c r="O15" s="62"/>
    </row>
    <row r="17" spans="1:15" ht="22.05" customHeight="1" x14ac:dyDescent="0.3">
      <c r="A17" s="40" t="s">
        <v>645</v>
      </c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</row>
    <row r="18" spans="1:15" ht="55.05" customHeight="1" x14ac:dyDescent="0.3">
      <c r="A18" s="158" t="s">
        <v>389</v>
      </c>
      <c r="B18" s="432" t="s">
        <v>390</v>
      </c>
      <c r="C18" s="432"/>
      <c r="D18" s="432"/>
    </row>
    <row r="19" spans="1:15" ht="55.05" customHeight="1" x14ac:dyDescent="0.3">
      <c r="A19" s="161" t="s">
        <v>391</v>
      </c>
      <c r="B19" s="433" t="s">
        <v>392</v>
      </c>
      <c r="C19" s="433"/>
      <c r="D19" s="433"/>
    </row>
    <row r="20" spans="1:15" ht="55.05" customHeight="1" x14ac:dyDescent="0.3">
      <c r="A20" s="158" t="s">
        <v>393</v>
      </c>
      <c r="B20" s="432" t="s">
        <v>646</v>
      </c>
      <c r="C20" s="432"/>
      <c r="D20" s="432"/>
    </row>
    <row r="21" spans="1:15" ht="55.05" customHeight="1" x14ac:dyDescent="0.3">
      <c r="A21" s="161" t="s">
        <v>394</v>
      </c>
      <c r="B21" s="433" t="s">
        <v>395</v>
      </c>
      <c r="C21" s="433"/>
      <c r="D21" s="433"/>
    </row>
    <row r="22" spans="1:15" ht="55.05" customHeight="1" x14ac:dyDescent="0.3">
      <c r="A22" s="158" t="s">
        <v>396</v>
      </c>
      <c r="B22" s="432" t="s">
        <v>397</v>
      </c>
      <c r="C22" s="432"/>
      <c r="D22" s="432"/>
    </row>
    <row r="23" spans="1:15" ht="55.05" customHeight="1" x14ac:dyDescent="0.3">
      <c r="A23" s="161" t="s">
        <v>398</v>
      </c>
      <c r="B23" s="433" t="s">
        <v>399</v>
      </c>
      <c r="C23" s="433"/>
      <c r="D23" s="433"/>
    </row>
    <row r="24" spans="1:15" ht="55.05" customHeight="1" x14ac:dyDescent="0.3">
      <c r="A24" s="158" t="s">
        <v>400</v>
      </c>
      <c r="B24" s="432" t="s">
        <v>401</v>
      </c>
      <c r="C24" s="432"/>
      <c r="D24" s="432"/>
    </row>
    <row r="25" spans="1:15" ht="55.05" customHeight="1" x14ac:dyDescent="0.3">
      <c r="A25" s="161" t="s">
        <v>402</v>
      </c>
      <c r="B25" s="433" t="s">
        <v>403</v>
      </c>
      <c r="C25" s="433"/>
      <c r="D25" s="433"/>
    </row>
    <row r="26" spans="1:15" ht="55.05" customHeight="1" x14ac:dyDescent="0.3">
      <c r="A26" s="158" t="s">
        <v>404</v>
      </c>
      <c r="B26" s="432" t="s">
        <v>405</v>
      </c>
      <c r="C26" s="432"/>
      <c r="D26" s="432"/>
    </row>
    <row r="28" spans="1:15" ht="22.05" customHeight="1" x14ac:dyDescent="0.3">
      <c r="A28" s="40" t="s">
        <v>642</v>
      </c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</row>
    <row r="29" spans="1:15" x14ac:dyDescent="0.3">
      <c r="A29" s="215" t="s">
        <v>406</v>
      </c>
      <c r="B29" s="215"/>
      <c r="C29" s="256">
        <f t="shared" ref="C29:E36" si="10">IF(B5&gt;0,(C5-B5)/B5,0)</f>
        <v>0.76829268292682928</v>
      </c>
      <c r="D29" s="256">
        <f t="shared" si="10"/>
        <v>0.20229885057471264</v>
      </c>
      <c r="E29" s="256">
        <f t="shared" si="10"/>
        <v>0.24282982791586999</v>
      </c>
      <c r="F29" s="257">
        <v>0.20283911981431399</v>
      </c>
      <c r="G29" s="257">
        <v>0.19720619870429601</v>
      </c>
      <c r="H29" s="257">
        <v>0.18388049759507299</v>
      </c>
      <c r="I29" s="257">
        <v>0.17669882542640999</v>
      </c>
      <c r="J29" s="257">
        <v>0.17115694268182499</v>
      </c>
      <c r="K29" s="257">
        <v>0.162404903715508</v>
      </c>
      <c r="L29" s="257">
        <v>0.153137943292213</v>
      </c>
      <c r="M29" s="257">
        <v>0.14559664997699301</v>
      </c>
      <c r="N29" s="257">
        <v>0.13727943914535301</v>
      </c>
      <c r="O29" s="257">
        <v>0.134260154257207</v>
      </c>
    </row>
    <row r="30" spans="1:15" x14ac:dyDescent="0.3">
      <c r="A30" s="185" t="s">
        <v>407</v>
      </c>
      <c r="B30" s="185"/>
      <c r="C30" s="258">
        <f t="shared" si="10"/>
        <v>0.7752808988764045</v>
      </c>
      <c r="D30" s="258">
        <f t="shared" si="10"/>
        <v>0.25949367088607594</v>
      </c>
      <c r="E30" s="258">
        <f t="shared" si="10"/>
        <v>0.15577889447236182</v>
      </c>
      <c r="F30" s="259">
        <v>0.199762804929875</v>
      </c>
      <c r="G30" s="259">
        <v>0.208611207897795</v>
      </c>
      <c r="H30" s="259">
        <v>0.19352408815834901</v>
      </c>
      <c r="I30" s="259">
        <v>0.185731658534628</v>
      </c>
      <c r="J30" s="259">
        <v>0.178111633549423</v>
      </c>
      <c r="K30" s="259">
        <v>0.16995894551304</v>
      </c>
      <c r="L30" s="259">
        <v>0.16208065578341199</v>
      </c>
      <c r="M30" s="259">
        <v>0.15345702928810301</v>
      </c>
      <c r="N30" s="259">
        <v>0.14446120448802799</v>
      </c>
      <c r="O30" s="259">
        <v>0.138804596429427</v>
      </c>
    </row>
    <row r="31" spans="1:15" x14ac:dyDescent="0.3">
      <c r="A31" s="186" t="s">
        <v>408</v>
      </c>
      <c r="B31" s="186"/>
      <c r="C31" s="260">
        <f t="shared" si="10"/>
        <v>0.76744186046511631</v>
      </c>
      <c r="D31" s="260">
        <f t="shared" si="10"/>
        <v>0.44736842105263158</v>
      </c>
      <c r="E31" s="260">
        <f t="shared" si="10"/>
        <v>0.45454545454545453</v>
      </c>
      <c r="F31" s="261">
        <v>0.27474798023799402</v>
      </c>
      <c r="G31" s="261">
        <v>0.26499672063947699</v>
      </c>
      <c r="H31" s="261">
        <v>0.25594106016382601</v>
      </c>
      <c r="I31" s="261">
        <v>0.24053360037995999</v>
      </c>
      <c r="J31" s="261">
        <v>0.226519670892015</v>
      </c>
      <c r="K31" s="261">
        <v>0.21094808550150199</v>
      </c>
      <c r="L31" s="261">
        <v>0.1925248557825</v>
      </c>
      <c r="M31" s="261">
        <v>0.17558001645560001</v>
      </c>
      <c r="N31" s="261">
        <v>0.160060904813764</v>
      </c>
      <c r="O31" s="261">
        <v>0.15244755065190299</v>
      </c>
    </row>
    <row r="32" spans="1:15" x14ac:dyDescent="0.3">
      <c r="A32" s="185" t="s">
        <v>409</v>
      </c>
      <c r="B32" s="185"/>
      <c r="C32" s="258">
        <f t="shared" si="10"/>
        <v>0.77941176470588236</v>
      </c>
      <c r="D32" s="258">
        <f t="shared" si="10"/>
        <v>0.20661157024793389</v>
      </c>
      <c r="E32" s="258">
        <f t="shared" si="10"/>
        <v>0.23287671232876711</v>
      </c>
      <c r="F32" s="259">
        <v>0.22198063465080001</v>
      </c>
      <c r="G32" s="259">
        <v>0.209368957871398</v>
      </c>
      <c r="H32" s="259">
        <v>0.19560972268728399</v>
      </c>
      <c r="I32" s="259">
        <v>0.19162492562546901</v>
      </c>
      <c r="J32" s="259">
        <v>0.17692638807993499</v>
      </c>
      <c r="K32" s="259">
        <v>0.170398502270209</v>
      </c>
      <c r="L32" s="259">
        <v>0.16273291121444</v>
      </c>
      <c r="M32" s="259">
        <v>0.153230392929704</v>
      </c>
      <c r="N32" s="259">
        <v>0.14425151219748</v>
      </c>
      <c r="O32" s="259">
        <v>0.13860381557781201</v>
      </c>
    </row>
    <row r="33" spans="1:15" x14ac:dyDescent="0.3">
      <c r="A33" s="186" t="s">
        <v>410</v>
      </c>
      <c r="B33" s="186"/>
      <c r="C33" s="260">
        <f t="shared" si="10"/>
        <v>0.79661016949152541</v>
      </c>
      <c r="D33" s="260">
        <f t="shared" si="10"/>
        <v>0.30188679245283018</v>
      </c>
      <c r="E33" s="260">
        <f t="shared" si="10"/>
        <v>0.26811594202898553</v>
      </c>
      <c r="F33" s="261">
        <v>0.22832858599963499</v>
      </c>
      <c r="G33" s="261">
        <v>0.214232655376388</v>
      </c>
      <c r="H33" s="261">
        <v>0.20701870724556801</v>
      </c>
      <c r="I33" s="261">
        <v>0.196625588085061</v>
      </c>
      <c r="J33" s="261">
        <v>0.185822876995551</v>
      </c>
      <c r="K33" s="261">
        <v>0.170017287847225</v>
      </c>
      <c r="L33" s="261">
        <v>0.16242159014680299</v>
      </c>
      <c r="M33" s="261">
        <v>0.152978394747038</v>
      </c>
      <c r="N33" s="261">
        <v>0.144045689941185</v>
      </c>
      <c r="O33" s="261">
        <v>0.13843102247349801</v>
      </c>
    </row>
    <row r="34" spans="1:15" x14ac:dyDescent="0.3">
      <c r="A34" s="185" t="s">
        <v>411</v>
      </c>
      <c r="B34" s="185"/>
      <c r="C34" s="258">
        <f t="shared" si="10"/>
        <v>0.77777777777777779</v>
      </c>
      <c r="D34" s="258">
        <f t="shared" si="10"/>
        <v>0.29166666666666669</v>
      </c>
      <c r="E34" s="258">
        <f t="shared" si="10"/>
        <v>0.29032258064516131</v>
      </c>
      <c r="F34" s="259">
        <v>0.24975292180195399</v>
      </c>
      <c r="G34" s="259">
        <v>0.240285156794426</v>
      </c>
      <c r="H34" s="259">
        <v>0.225930521091812</v>
      </c>
      <c r="I34" s="259">
        <v>0.21032421969513501</v>
      </c>
      <c r="J34" s="259">
        <v>0.195799890793832</v>
      </c>
      <c r="K34" s="259">
        <v>0.18635848184662099</v>
      </c>
      <c r="L34" s="259">
        <v>0.17614169272762301</v>
      </c>
      <c r="M34" s="259">
        <v>0.162884471463349</v>
      </c>
      <c r="N34" s="259">
        <v>0.151226093640704</v>
      </c>
      <c r="O34" s="259">
        <v>0.14357946613570499</v>
      </c>
    </row>
    <row r="35" spans="1:15" x14ac:dyDescent="0.3">
      <c r="A35" s="186" t="s">
        <v>412</v>
      </c>
      <c r="B35" s="186"/>
      <c r="C35" s="260">
        <f t="shared" si="10"/>
        <v>0</v>
      </c>
      <c r="D35" s="260">
        <f t="shared" si="10"/>
        <v>0</v>
      </c>
      <c r="E35" s="260">
        <f t="shared" si="10"/>
        <v>0</v>
      </c>
      <c r="F35" s="261">
        <v>0.51106489636054497</v>
      </c>
      <c r="G35" s="261">
        <v>0.32361258547064597</v>
      </c>
      <c r="H35" s="261">
        <v>0.28990327107103397</v>
      </c>
      <c r="I35" s="261">
        <v>0.255297002422748</v>
      </c>
      <c r="J35" s="261">
        <v>0.228221897402276</v>
      </c>
      <c r="K35" s="261">
        <v>0.21142330800933601</v>
      </c>
      <c r="L35" s="261">
        <v>0.193291199002566</v>
      </c>
      <c r="M35" s="261">
        <v>0.17788386705523801</v>
      </c>
      <c r="N35" s="261">
        <v>0.16103912162745099</v>
      </c>
      <c r="O35" s="261">
        <v>0.15465169507083601</v>
      </c>
    </row>
    <row r="36" spans="1:15" x14ac:dyDescent="0.3">
      <c r="A36" s="201" t="s">
        <v>413</v>
      </c>
      <c r="B36" s="201"/>
      <c r="C36" s="262">
        <f t="shared" si="10"/>
        <v>0.74603174603174605</v>
      </c>
      <c r="D36" s="262">
        <f t="shared" si="10"/>
        <v>0.46363636363636362</v>
      </c>
      <c r="E36" s="262">
        <f t="shared" si="10"/>
        <v>-0.25465838509316768</v>
      </c>
      <c r="F36" s="263">
        <v>0.22475786336591599</v>
      </c>
      <c r="G36" s="263">
        <v>0.238379956860794</v>
      </c>
      <c r="H36" s="263">
        <v>0.197923432842461</v>
      </c>
      <c r="I36" s="263">
        <v>0.183288656750212</v>
      </c>
      <c r="J36" s="263">
        <v>0.17068725038110499</v>
      </c>
      <c r="K36" s="263">
        <v>0.16224660587394599</v>
      </c>
      <c r="L36" s="263">
        <v>0.15374460712318699</v>
      </c>
      <c r="M36" s="263">
        <v>0.14322759386016501</v>
      </c>
      <c r="N36" s="263">
        <v>0.136035157972384</v>
      </c>
      <c r="O36" s="263">
        <v>0.13310675393065999</v>
      </c>
    </row>
    <row r="37" spans="1:15" x14ac:dyDescent="0.3">
      <c r="F37" s="18"/>
    </row>
    <row r="38" spans="1:15" ht="22.05" customHeight="1" x14ac:dyDescent="0.3">
      <c r="A38" s="40" t="s">
        <v>414</v>
      </c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</row>
    <row r="39" spans="1:15" x14ac:dyDescent="0.3">
      <c r="A39" s="215" t="s">
        <v>406</v>
      </c>
      <c r="B39" s="256">
        <f t="shared" ref="B39:E39" si="11">IF(B14&gt;0,B5/B14,0)</f>
        <v>0.35964912280701755</v>
      </c>
      <c r="C39" s="256">
        <f t="shared" si="11"/>
        <v>0.3589108910891089</v>
      </c>
      <c r="D39" s="256">
        <f t="shared" si="11"/>
        <v>0.3400520156046814</v>
      </c>
      <c r="E39" s="256">
        <f t="shared" si="11"/>
        <v>0.33978044955567172</v>
      </c>
      <c r="F39" s="256">
        <f>IF(F14&gt;0,F5/F14,0)</f>
        <v>0.33234169145771403</v>
      </c>
      <c r="G39" s="256">
        <f t="shared" ref="G39:O39" si="12">IF(G14&gt;0,G5/G14,0)</f>
        <v>0.32613240418118494</v>
      </c>
      <c r="H39" s="256">
        <f t="shared" si="12"/>
        <v>0.32041642567958395</v>
      </c>
      <c r="I39" s="256">
        <f t="shared" si="12"/>
        <v>0.31550931526736009</v>
      </c>
      <c r="J39" s="256">
        <f t="shared" si="12"/>
        <v>0.31182356544823403</v>
      </c>
      <c r="K39" s="256">
        <f t="shared" si="12"/>
        <v>0.30848105665623893</v>
      </c>
      <c r="L39" s="256">
        <f t="shared" si="12"/>
        <v>0.30534009546539403</v>
      </c>
      <c r="M39" s="256">
        <f t="shared" si="12"/>
        <v>0.3028541908820872</v>
      </c>
      <c r="N39" s="256">
        <f t="shared" si="12"/>
        <v>0.30081209113467205</v>
      </c>
      <c r="O39" s="256">
        <f t="shared" si="12"/>
        <v>0.29929751657267212</v>
      </c>
    </row>
    <row r="40" spans="1:15" x14ac:dyDescent="0.3">
      <c r="A40" s="185" t="s">
        <v>407</v>
      </c>
      <c r="B40" s="258">
        <f t="shared" ref="B40:E40" si="13">IF(B14&gt;0,B6/B14,0)</f>
        <v>0.26023391812865498</v>
      </c>
      <c r="C40" s="258">
        <f t="shared" si="13"/>
        <v>0.26072607260726072</v>
      </c>
      <c r="D40" s="258">
        <f t="shared" si="13"/>
        <v>0.25877763328998699</v>
      </c>
      <c r="E40" s="258">
        <f t="shared" si="13"/>
        <v>0.24046001045478307</v>
      </c>
      <c r="F40" s="258">
        <f>IF(F14&gt;0,F6/F14,0)</f>
        <v>0.234594135146621</v>
      </c>
      <c r="G40" s="258">
        <f t="shared" ref="G40:O40" si="14">IF(G14&gt;0,G6/G14,0)</f>
        <v>0.23240418118466888</v>
      </c>
      <c r="H40" s="258">
        <f t="shared" si="14"/>
        <v>0.23019086176980882</v>
      </c>
      <c r="I40" s="258">
        <f t="shared" si="14"/>
        <v>0.22840551657391711</v>
      </c>
      <c r="J40" s="258">
        <f t="shared" si="14"/>
        <v>0.22707780273636893</v>
      </c>
      <c r="K40" s="258">
        <f t="shared" si="14"/>
        <v>0.22610358011817891</v>
      </c>
      <c r="L40" s="258">
        <f t="shared" si="14"/>
        <v>0.22553699284009493</v>
      </c>
      <c r="M40" s="258">
        <f t="shared" si="14"/>
        <v>0.225235696758362</v>
      </c>
      <c r="N40" s="258">
        <f t="shared" si="14"/>
        <v>0.22512970900067686</v>
      </c>
      <c r="O40" s="258">
        <f t="shared" si="14"/>
        <v>0.22489363807262303</v>
      </c>
    </row>
    <row r="41" spans="1:15" x14ac:dyDescent="0.3">
      <c r="A41" s="186" t="s">
        <v>408</v>
      </c>
      <c r="B41" s="260">
        <f t="shared" ref="B41:E41" si="15">IF(B14&gt;0,B7/B14,0)</f>
        <v>6.2865497076023388E-2</v>
      </c>
      <c r="C41" s="260">
        <f t="shared" si="15"/>
        <v>6.2706270627062702E-2</v>
      </c>
      <c r="D41" s="260">
        <f t="shared" si="15"/>
        <v>7.1521456436931086E-2</v>
      </c>
      <c r="E41" s="260">
        <f t="shared" si="15"/>
        <v>8.36382645060115E-2</v>
      </c>
      <c r="F41" s="260">
        <f>IF(F14&gt;0,F7/F14,0)</f>
        <v>8.669783255418613E-2</v>
      </c>
      <c r="G41" s="260">
        <f t="shared" ref="G41:O41" si="16">IF(G14&gt;0,G7/G14,0)</f>
        <v>8.9895470383275319E-2</v>
      </c>
      <c r="H41" s="260">
        <f t="shared" si="16"/>
        <v>9.3695777906304234E-2</v>
      </c>
      <c r="I41" s="260">
        <f t="shared" si="16"/>
        <v>9.7265908541011553E-2</v>
      </c>
      <c r="J41" s="260">
        <f t="shared" si="16"/>
        <v>0.10067388196855213</v>
      </c>
      <c r="K41" s="260">
        <f t="shared" si="16"/>
        <v>0.10375391032325305</v>
      </c>
      <c r="L41" s="260">
        <f t="shared" si="16"/>
        <v>0.10620525059665906</v>
      </c>
      <c r="M41" s="260">
        <f t="shared" si="16"/>
        <v>0.10809763657497111</v>
      </c>
      <c r="N41" s="260">
        <f t="shared" si="16"/>
        <v>0.10951951274531906</v>
      </c>
      <c r="O41" s="260">
        <f t="shared" si="16"/>
        <v>0.11071534579994108</v>
      </c>
    </row>
    <row r="42" spans="1:15" x14ac:dyDescent="0.3">
      <c r="A42" s="185" t="s">
        <v>409</v>
      </c>
      <c r="B42" s="258">
        <f t="shared" ref="B42:E42" si="17">IF(B14&gt;0,B8/B14,0)</f>
        <v>9.9415204678362568E-2</v>
      </c>
      <c r="C42" s="258">
        <f t="shared" si="17"/>
        <v>9.9834983498349836E-2</v>
      </c>
      <c r="D42" s="258">
        <f t="shared" si="17"/>
        <v>9.4928478543563066E-2</v>
      </c>
      <c r="E42" s="258">
        <f t="shared" si="17"/>
        <v>9.4093047569262941E-2</v>
      </c>
      <c r="F42" s="258">
        <f>IF(F14&gt;0,F8/F14,0)</f>
        <v>9.3497662558436001E-2</v>
      </c>
      <c r="G42" s="258">
        <f t="shared" ref="G42:O42" si="18">IF(G14&gt;0,G8/G14,0)</f>
        <v>9.2682926829268292E-2</v>
      </c>
      <c r="H42" s="258">
        <f t="shared" si="18"/>
        <v>9.1960670908039235E-2</v>
      </c>
      <c r="I42" s="258">
        <f t="shared" si="18"/>
        <v>9.1700943624485831E-2</v>
      </c>
      <c r="J42" s="258">
        <f t="shared" si="18"/>
        <v>9.1076169083112071E-2</v>
      </c>
      <c r="K42" s="258">
        <f t="shared" si="18"/>
        <v>9.0719499478623525E-2</v>
      </c>
      <c r="L42" s="258">
        <f t="shared" si="18"/>
        <v>9.0542959427207567E-2</v>
      </c>
      <c r="M42" s="258">
        <f t="shared" si="18"/>
        <v>9.0404236084205086E-2</v>
      </c>
      <c r="N42" s="258">
        <f t="shared" si="18"/>
        <v>9.0345138732235444E-2</v>
      </c>
      <c r="O42" s="258">
        <f t="shared" si="18"/>
        <v>9.0234490946868473E-2</v>
      </c>
    </row>
    <row r="43" spans="1:15" x14ac:dyDescent="0.3">
      <c r="A43" s="186" t="s">
        <v>410</v>
      </c>
      <c r="B43" s="260">
        <f t="shared" ref="B43:E43" si="19">IF(B14&gt;0,B9/B14,0)</f>
        <v>8.6257309941520463E-2</v>
      </c>
      <c r="C43" s="260">
        <f t="shared" si="19"/>
        <v>8.7458745874587462E-2</v>
      </c>
      <c r="D43" s="260">
        <f t="shared" si="19"/>
        <v>8.9726918075422629E-2</v>
      </c>
      <c r="E43" s="260">
        <f t="shared" si="19"/>
        <v>9.1479351803450085E-2</v>
      </c>
      <c r="F43" s="260">
        <f>IF(F14&gt;0,F9/F14,0)</f>
        <v>9.1372715682107877E-2</v>
      </c>
      <c r="G43" s="260">
        <f t="shared" ref="G43:O43" si="20">IF(G14&gt;0,G9/G14,0)</f>
        <v>9.0940766550522564E-2</v>
      </c>
      <c r="H43" s="260">
        <f t="shared" si="20"/>
        <v>9.109311740890684E-2</v>
      </c>
      <c r="I43" s="260">
        <f t="shared" si="20"/>
        <v>9.1217033631744548E-2</v>
      </c>
      <c r="J43" s="260">
        <f t="shared" si="20"/>
        <v>9.1280375740249123E-2</v>
      </c>
      <c r="K43" s="260">
        <f t="shared" si="20"/>
        <v>9.0893291623218617E-2</v>
      </c>
      <c r="L43" s="260">
        <f t="shared" si="20"/>
        <v>9.0692124105011915E-2</v>
      </c>
      <c r="M43" s="260">
        <f t="shared" si="20"/>
        <v>9.0533384992896801E-2</v>
      </c>
      <c r="N43" s="260">
        <f t="shared" si="20"/>
        <v>9.0457929167606518E-2</v>
      </c>
      <c r="O43" s="260">
        <f t="shared" si="20"/>
        <v>9.0333432274661021E-2</v>
      </c>
    </row>
    <row r="44" spans="1:15" x14ac:dyDescent="0.3">
      <c r="A44" s="185" t="s">
        <v>411</v>
      </c>
      <c r="B44" s="258">
        <f t="shared" ref="B44:E44" si="21">IF(B14&gt;0,B10/B14,0)</f>
        <v>3.9473684210526314E-2</v>
      </c>
      <c r="C44" s="258">
        <f t="shared" si="21"/>
        <v>3.9603960396039604E-2</v>
      </c>
      <c r="D44" s="258">
        <f t="shared" si="21"/>
        <v>4.0312093628088429E-2</v>
      </c>
      <c r="E44" s="258">
        <f t="shared" si="21"/>
        <v>4.181913225300575E-2</v>
      </c>
      <c r="F44" s="258">
        <f>IF(F14&gt;0,F10/F14,0)</f>
        <v>4.2498937526561802E-2</v>
      </c>
      <c r="G44" s="258">
        <f t="shared" ref="G44:O44" si="22">IF(G14&gt;0,G10/G14,0)</f>
        <v>4.320557491289196E-2</v>
      </c>
      <c r="H44" s="258">
        <f t="shared" si="22"/>
        <v>4.3956043956043939E-2</v>
      </c>
      <c r="I44" s="258">
        <f t="shared" si="22"/>
        <v>4.4519719332204166E-2</v>
      </c>
      <c r="J44" s="258">
        <f t="shared" si="22"/>
        <v>4.4925464570144957E-2</v>
      </c>
      <c r="K44" s="258">
        <f t="shared" si="22"/>
        <v>4.5359749739311755E-2</v>
      </c>
      <c r="L44" s="258">
        <f t="shared" si="22"/>
        <v>4.5793556085918875E-2</v>
      </c>
      <c r="M44" s="258">
        <f t="shared" si="22"/>
        <v>4.6106160402944601E-2</v>
      </c>
      <c r="N44" s="258">
        <f t="shared" si="22"/>
        <v>4.6356868937514048E-2</v>
      </c>
      <c r="O44" s="258">
        <f t="shared" si="22"/>
        <v>4.6502424062530849E-2</v>
      </c>
    </row>
    <row r="45" spans="1:15" x14ac:dyDescent="0.3">
      <c r="A45" s="186" t="s">
        <v>412</v>
      </c>
      <c r="B45" s="260">
        <f t="shared" ref="B45:E45" si="23">IF(B14&gt;0,B11/B14,0)</f>
        <v>0</v>
      </c>
      <c r="C45" s="260">
        <f t="shared" si="23"/>
        <v>0</v>
      </c>
      <c r="D45" s="260">
        <f t="shared" si="23"/>
        <v>0</v>
      </c>
      <c r="E45" s="260">
        <f t="shared" si="23"/>
        <v>4.6001045478306322E-2</v>
      </c>
      <c r="F45" s="260">
        <f>IF(F14&gt;0,F11/F14,0)</f>
        <v>5.6523586910327224E-2</v>
      </c>
      <c r="G45" s="260">
        <f t="shared" ref="G45:O45" si="24">IF(G14&gt;0,G11/G14,0)</f>
        <v>6.1324041811846676E-2</v>
      </c>
      <c r="H45" s="260">
        <f t="shared" si="24"/>
        <v>6.5644881434355082E-2</v>
      </c>
      <c r="I45" s="260">
        <f t="shared" si="24"/>
        <v>6.8957173965642424E-2</v>
      </c>
      <c r="J45" s="260">
        <f t="shared" si="24"/>
        <v>7.1472329997957912E-2</v>
      </c>
      <c r="K45" s="260">
        <f t="shared" si="24"/>
        <v>7.3687869308307272E-2</v>
      </c>
      <c r="L45" s="260">
        <f t="shared" si="24"/>
        <v>7.5477326968973718E-2</v>
      </c>
      <c r="M45" s="260">
        <f t="shared" si="24"/>
        <v>7.6972749580266148E-2</v>
      </c>
      <c r="N45" s="260">
        <f t="shared" si="24"/>
        <v>7.8050981276787654E-2</v>
      </c>
      <c r="O45" s="260">
        <f t="shared" si="24"/>
        <v>7.9054120906302608E-2</v>
      </c>
    </row>
    <row r="46" spans="1:15" x14ac:dyDescent="0.3">
      <c r="A46" s="185" t="s">
        <v>413</v>
      </c>
      <c r="B46" s="258">
        <f t="shared" ref="B46:E46" si="25">IF(B14&gt;0,B12/B14,0)</f>
        <v>9.2105263157894732E-2</v>
      </c>
      <c r="C46" s="258">
        <f t="shared" si="25"/>
        <v>9.0759075907590761E-2</v>
      </c>
      <c r="D46" s="258">
        <f t="shared" si="25"/>
        <v>0.1046814044213264</v>
      </c>
      <c r="E46" s="258">
        <f t="shared" si="25"/>
        <v>6.2728698379508618E-2</v>
      </c>
      <c r="F46" s="258">
        <f>IF(F14&gt;0,F12/F14,0)</f>
        <v>6.2473438164045901E-2</v>
      </c>
      <c r="G46" s="258">
        <f t="shared" ref="G46:O46" si="26">IF(G14&gt;0,G12/G14,0)</f>
        <v>6.3414634146341492E-2</v>
      </c>
      <c r="H46" s="258">
        <f t="shared" si="26"/>
        <v>6.3042220936957785E-2</v>
      </c>
      <c r="I46" s="258">
        <f t="shared" si="26"/>
        <v>6.2424389063634261E-2</v>
      </c>
      <c r="J46" s="258">
        <f t="shared" si="26"/>
        <v>6.1670410455380832E-2</v>
      </c>
      <c r="K46" s="258">
        <f t="shared" si="26"/>
        <v>6.1001042752867628E-2</v>
      </c>
      <c r="L46" s="258">
        <f t="shared" si="26"/>
        <v>6.0411694510739918E-2</v>
      </c>
      <c r="M46" s="258">
        <f t="shared" si="26"/>
        <v>5.9795944724267143E-2</v>
      </c>
      <c r="N46" s="258">
        <f t="shared" si="26"/>
        <v>5.9327769005188394E-2</v>
      </c>
      <c r="O46" s="258">
        <f t="shared" si="26"/>
        <v>5.8969031364400924E-2</v>
      </c>
    </row>
    <row r="47" spans="1:15" x14ac:dyDescent="0.3">
      <c r="A47" s="248" t="s">
        <v>478</v>
      </c>
      <c r="B47" s="264">
        <f t="shared" ref="B47:E47" si="27">SUM(B39:B46)</f>
        <v>1</v>
      </c>
      <c r="C47" s="264">
        <f t="shared" si="27"/>
        <v>1</v>
      </c>
      <c r="D47" s="264">
        <f t="shared" si="27"/>
        <v>1</v>
      </c>
      <c r="E47" s="264">
        <f t="shared" si="27"/>
        <v>1</v>
      </c>
      <c r="F47" s="264">
        <f>SUM(F39:F46)</f>
        <v>1</v>
      </c>
      <c r="G47" s="264">
        <f t="shared" ref="G47:J47" si="28">SUM(G39:G46)</f>
        <v>1</v>
      </c>
      <c r="H47" s="264">
        <f t="shared" si="28"/>
        <v>0.99999999999999989</v>
      </c>
      <c r="I47" s="264">
        <f t="shared" si="28"/>
        <v>1.0000000000000002</v>
      </c>
      <c r="J47" s="264">
        <f t="shared" si="28"/>
        <v>1</v>
      </c>
      <c r="K47" s="264">
        <f t="shared" ref="K47:O47" si="29">SUM(K39:K46)</f>
        <v>0.99999999999999978</v>
      </c>
      <c r="L47" s="264">
        <f t="shared" si="29"/>
        <v>1</v>
      </c>
      <c r="M47" s="264">
        <f t="shared" si="29"/>
        <v>1</v>
      </c>
      <c r="N47" s="264">
        <f t="shared" si="29"/>
        <v>1</v>
      </c>
      <c r="O47" s="264">
        <f t="shared" si="29"/>
        <v>0.99999999999999989</v>
      </c>
    </row>
    <row r="48" spans="1:15" x14ac:dyDescent="0.3">
      <c r="A48" s="11"/>
    </row>
    <row r="49" spans="1:1" x14ac:dyDescent="0.3">
      <c r="A49" s="11"/>
    </row>
  </sheetData>
  <mergeCells count="9">
    <mergeCell ref="B24:D24"/>
    <mergeCell ref="B25:D25"/>
    <mergeCell ref="B26:D26"/>
    <mergeCell ref="B18:D18"/>
    <mergeCell ref="B19:D19"/>
    <mergeCell ref="B20:D20"/>
    <mergeCell ref="B21:D21"/>
    <mergeCell ref="B22:D22"/>
    <mergeCell ref="B23:D23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8E3D5-BDA2-4CD8-929D-55522C8E4C0C}">
  <sheetPr>
    <tabColor rgb="FF1B3A5C"/>
  </sheetPr>
  <dimension ref="A1:O92"/>
  <sheetViews>
    <sheetView showGridLines="0" workbookViewId="0"/>
  </sheetViews>
  <sheetFormatPr defaultRowHeight="14.4" x14ac:dyDescent="0.3"/>
  <cols>
    <col min="1" max="1" width="40.77734375" customWidth="1"/>
    <col min="2" max="5" width="17.5546875" customWidth="1"/>
    <col min="6" max="10" width="16.6640625" customWidth="1"/>
    <col min="11" max="11" width="16.88671875" customWidth="1"/>
    <col min="12" max="12" width="16.44140625" customWidth="1"/>
    <col min="13" max="13" width="16.6640625" customWidth="1"/>
    <col min="14" max="14" width="16.21875" customWidth="1"/>
    <col min="15" max="15" width="17.33203125" customWidth="1"/>
  </cols>
  <sheetData>
    <row r="1" spans="1:15" ht="28.05" customHeight="1" x14ac:dyDescent="0.35">
      <c r="A1" s="176" t="s">
        <v>44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</row>
    <row r="2" spans="1:15" x14ac:dyDescent="0.3">
      <c r="A2" s="265" t="s">
        <v>79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</row>
    <row r="3" spans="1:15" x14ac:dyDescent="0.3">
      <c r="A3" s="37"/>
      <c r="B3" s="53" t="s">
        <v>45</v>
      </c>
      <c r="C3" s="53" t="s">
        <v>46</v>
      </c>
      <c r="D3" s="53" t="s">
        <v>47</v>
      </c>
      <c r="E3" s="53" t="s">
        <v>48</v>
      </c>
      <c r="F3" s="53" t="s">
        <v>49</v>
      </c>
      <c r="G3" s="53" t="s">
        <v>50</v>
      </c>
      <c r="H3" s="53" t="s">
        <v>51</v>
      </c>
      <c r="I3" s="53" t="s">
        <v>52</v>
      </c>
      <c r="J3" s="53" t="s">
        <v>53</v>
      </c>
      <c r="K3" s="53" t="s">
        <v>486</v>
      </c>
      <c r="L3" s="53" t="s">
        <v>487</v>
      </c>
      <c r="M3" s="53" t="s">
        <v>488</v>
      </c>
      <c r="N3" s="53" t="s">
        <v>489</v>
      </c>
      <c r="O3" s="53" t="s">
        <v>490</v>
      </c>
    </row>
    <row r="4" spans="1:15" ht="22.05" customHeight="1" x14ac:dyDescent="0.3">
      <c r="A4" s="40" t="s">
        <v>54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</row>
    <row r="5" spans="1:15" x14ac:dyDescent="0.3">
      <c r="A5" s="215" t="s">
        <v>55</v>
      </c>
      <c r="B5" s="277">
        <v>686.2</v>
      </c>
      <c r="C5" s="277">
        <v>1211.8900000000001</v>
      </c>
      <c r="D5" s="277">
        <v>1537.14</v>
      </c>
      <c r="E5" s="277">
        <v>1912.63</v>
      </c>
      <c r="F5" s="216">
        <f>'Income Statement'!F4</f>
        <v>2352.5349000000001</v>
      </c>
      <c r="G5" s="216">
        <f>'Income Statement'!G4</f>
        <v>2870.0925780000016</v>
      </c>
      <c r="H5" s="216">
        <f>'Income Statement'!H4</f>
        <v>3458.4615564900023</v>
      </c>
      <c r="I5" s="216">
        <f>'Income Statement'!I4</f>
        <v>4132.8615600055491</v>
      </c>
      <c r="J5" s="216">
        <f>'Income Statement'!J4</f>
        <v>4897.4409486065779</v>
      </c>
      <c r="K5" s="216">
        <f>'Income Statement'!K4</f>
        <v>5754.493114612731</v>
      </c>
      <c r="L5" s="216">
        <f>'Income Statement'!L4</f>
        <v>6703.9844785238311</v>
      </c>
      <c r="M5" s="216">
        <f>'Income Statement'!M4</f>
        <v>7743.1020726950228</v>
      </c>
      <c r="N5" s="216">
        <f>'Income Statement'!N4</f>
        <v>8865.8518732358079</v>
      </c>
      <c r="O5" s="216">
        <f>'Income Statement'!O4</f>
        <v>10107.071135488819</v>
      </c>
    </row>
    <row r="6" spans="1:15" x14ac:dyDescent="0.3">
      <c r="A6" s="185" t="s">
        <v>56</v>
      </c>
      <c r="B6" s="185"/>
      <c r="C6" s="278">
        <f>(C5-B5)/B5</f>
        <v>0.76608860390556688</v>
      </c>
      <c r="D6" s="278">
        <v>0.26829999999999998</v>
      </c>
      <c r="E6" s="278">
        <v>0.24429999999999999</v>
      </c>
      <c r="F6" s="278">
        <f t="shared" ref="F6:O6" si="0">(F5-E5)/E5</f>
        <v>0.22999999999999998</v>
      </c>
      <c r="G6" s="278">
        <f t="shared" si="0"/>
        <v>0.22000000000000061</v>
      </c>
      <c r="H6" s="278">
        <f t="shared" si="0"/>
        <v>0.20500000000000013</v>
      </c>
      <c r="I6" s="278">
        <f t="shared" si="0"/>
        <v>0.19499999999999895</v>
      </c>
      <c r="J6" s="278">
        <f t="shared" si="0"/>
        <v>0.18500000000000053</v>
      </c>
      <c r="K6" s="278">
        <f t="shared" si="0"/>
        <v>0.17500000000000041</v>
      </c>
      <c r="L6" s="278">
        <f t="shared" si="0"/>
        <v>0.1649999999999999</v>
      </c>
      <c r="M6" s="278">
        <f t="shared" si="0"/>
        <v>0.15499999999999969</v>
      </c>
      <c r="N6" s="278">
        <f t="shared" si="0"/>
        <v>0.14500000000000088</v>
      </c>
      <c r="O6" s="278">
        <f t="shared" si="0"/>
        <v>0.13999999999999976</v>
      </c>
    </row>
    <row r="7" spans="1:15" x14ac:dyDescent="0.3">
      <c r="A7" s="279" t="s">
        <v>641</v>
      </c>
      <c r="B7" s="279"/>
      <c r="C7" s="280"/>
      <c r="D7" s="280"/>
      <c r="E7" s="280"/>
      <c r="F7" s="280"/>
      <c r="G7" s="280"/>
      <c r="H7" s="280"/>
      <c r="I7" s="280"/>
      <c r="J7" s="280"/>
      <c r="K7" s="279"/>
      <c r="L7" s="279"/>
      <c r="M7" s="279"/>
      <c r="N7" s="279"/>
      <c r="O7" s="279"/>
    </row>
    <row r="8" spans="1:15" x14ac:dyDescent="0.3">
      <c r="A8" s="185" t="s">
        <v>57</v>
      </c>
      <c r="B8" s="281">
        <v>0.87</v>
      </c>
      <c r="C8" s="282">
        <v>0.87</v>
      </c>
      <c r="D8" s="282">
        <v>0.87</v>
      </c>
      <c r="E8" s="282">
        <v>0.88700000000000001</v>
      </c>
      <c r="F8" s="283">
        <v>0.88500000000000001</v>
      </c>
      <c r="G8" s="283">
        <v>0.88</v>
      </c>
      <c r="H8" s="283">
        <v>0.875</v>
      </c>
      <c r="I8" s="283">
        <v>0.87</v>
      </c>
      <c r="J8" s="283">
        <v>0.86499999999999999</v>
      </c>
      <c r="K8" s="283">
        <v>0.86</v>
      </c>
      <c r="L8" s="283">
        <v>0.85499999999999998</v>
      </c>
      <c r="M8" s="283">
        <v>0.85</v>
      </c>
      <c r="N8" s="283">
        <v>0.84499999999999997</v>
      </c>
      <c r="O8" s="283">
        <v>0.84</v>
      </c>
    </row>
    <row r="9" spans="1:15" x14ac:dyDescent="0.3">
      <c r="A9" s="208" t="s">
        <v>58</v>
      </c>
      <c r="B9" s="284">
        <v>0.13</v>
      </c>
      <c r="C9" s="285">
        <v>0.13</v>
      </c>
      <c r="D9" s="285">
        <v>0.13</v>
      </c>
      <c r="E9" s="285">
        <v>0.113</v>
      </c>
      <c r="F9" s="286">
        <v>0.115</v>
      </c>
      <c r="G9" s="286">
        <v>0.12</v>
      </c>
      <c r="H9" s="286">
        <v>0.125</v>
      </c>
      <c r="I9" s="286">
        <v>0.13</v>
      </c>
      <c r="J9" s="286">
        <v>0.13500000000000001</v>
      </c>
      <c r="K9" s="286">
        <v>0.14000000000000001</v>
      </c>
      <c r="L9" s="286">
        <v>0.14499999999999999</v>
      </c>
      <c r="M9" s="286">
        <v>0.15</v>
      </c>
      <c r="N9" s="286">
        <v>0.155</v>
      </c>
      <c r="O9" s="286">
        <v>0.16</v>
      </c>
    </row>
    <row r="11" spans="1:15" ht="22.05" customHeight="1" x14ac:dyDescent="0.3">
      <c r="A11" s="40" t="s">
        <v>59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</row>
    <row r="12" spans="1:15" x14ac:dyDescent="0.3">
      <c r="A12" s="217" t="s">
        <v>60</v>
      </c>
      <c r="B12" s="287">
        <v>0.31</v>
      </c>
      <c r="C12" s="287">
        <v>0.35599999999999998</v>
      </c>
      <c r="D12" s="287">
        <v>0.41920000000000002</v>
      </c>
      <c r="E12" s="287">
        <v>0.435</v>
      </c>
      <c r="F12" s="288">
        <v>0.435</v>
      </c>
      <c r="G12" s="288">
        <v>0.44</v>
      </c>
      <c r="H12" s="288">
        <v>0.44500000000000001</v>
      </c>
      <c r="I12" s="288">
        <v>0.44800000000000001</v>
      </c>
      <c r="J12" s="288">
        <v>0.45</v>
      </c>
      <c r="K12" s="288">
        <v>0.45</v>
      </c>
      <c r="L12" s="288">
        <v>0.45200000000000001</v>
      </c>
      <c r="M12" s="288">
        <v>0.45300000000000001</v>
      </c>
      <c r="N12" s="288">
        <v>0.45500000000000002</v>
      </c>
      <c r="O12" s="288">
        <v>0.45500000000000002</v>
      </c>
    </row>
    <row r="13" spans="1:15" x14ac:dyDescent="0.3">
      <c r="A13" s="186" t="s">
        <v>61</v>
      </c>
      <c r="B13" s="289">
        <f>B12-B15-B16</f>
        <v>0.10200000000000001</v>
      </c>
      <c r="C13" s="289">
        <f t="shared" ref="C13:J13" si="1">C12-C15-C16</f>
        <v>0.154</v>
      </c>
      <c r="D13" s="289">
        <f>D12-D15-D16</f>
        <v>0.1774</v>
      </c>
      <c r="E13" s="289">
        <f>E12-E15-E16</f>
        <v>0.18210000000000001</v>
      </c>
      <c r="F13" s="289">
        <f>F12-F15-F16</f>
        <v>0.17499999999999999</v>
      </c>
      <c r="G13" s="289">
        <f>G12-G15-G16</f>
        <v>0.184</v>
      </c>
      <c r="H13" s="289">
        <f t="shared" si="1"/>
        <v>0.19500000000000001</v>
      </c>
      <c r="I13" s="289">
        <f t="shared" si="1"/>
        <v>0.20200000000000001</v>
      </c>
      <c r="J13" s="289">
        <f t="shared" si="1"/>
        <v>0.21000000000000002</v>
      </c>
      <c r="K13" s="290">
        <f>K12-K15-K16</f>
        <v>0.21400000000000002</v>
      </c>
      <c r="L13" s="290">
        <f>L12-L15-L16</f>
        <v>0.22000000000000003</v>
      </c>
      <c r="M13" s="290">
        <f>M12-M15-M16</f>
        <v>0.22300000000000003</v>
      </c>
      <c r="N13" s="290">
        <f>N12-N15-N16</f>
        <v>0.22700000000000004</v>
      </c>
      <c r="O13" s="290">
        <f>O12-O15-O16</f>
        <v>0.22700000000000004</v>
      </c>
    </row>
    <row r="14" spans="1:15" x14ac:dyDescent="0.3">
      <c r="A14" s="291" t="s">
        <v>80</v>
      </c>
      <c r="B14" s="292"/>
      <c r="C14" s="292"/>
      <c r="D14" s="292"/>
      <c r="E14" s="292"/>
      <c r="F14" s="292"/>
      <c r="G14" s="292"/>
      <c r="H14" s="292"/>
      <c r="I14" s="292"/>
      <c r="J14" s="292"/>
      <c r="K14" s="291"/>
      <c r="L14" s="291"/>
      <c r="M14" s="291"/>
      <c r="N14" s="291"/>
      <c r="O14" s="291"/>
    </row>
    <row r="15" spans="1:15" x14ac:dyDescent="0.3">
      <c r="A15" s="186" t="s">
        <v>62</v>
      </c>
      <c r="B15" s="293">
        <v>0.12</v>
      </c>
      <c r="C15" s="293">
        <v>0.11</v>
      </c>
      <c r="D15" s="293">
        <v>0.1386</v>
      </c>
      <c r="E15" s="293">
        <v>0.13869999999999999</v>
      </c>
      <c r="F15" s="294">
        <v>0.14000000000000001</v>
      </c>
      <c r="G15" s="294">
        <v>0.13800000000000001</v>
      </c>
      <c r="H15" s="294">
        <v>0.13500000000000001</v>
      </c>
      <c r="I15" s="294">
        <v>0.13300000000000001</v>
      </c>
      <c r="J15" s="294">
        <v>0.13</v>
      </c>
      <c r="K15" s="294">
        <v>0.128</v>
      </c>
      <c r="L15" s="294">
        <v>0.126</v>
      </c>
      <c r="M15" s="294">
        <v>0.125</v>
      </c>
      <c r="N15" s="294">
        <v>0.125</v>
      </c>
      <c r="O15" s="294">
        <v>0.125</v>
      </c>
    </row>
    <row r="16" spans="1:15" x14ac:dyDescent="0.3">
      <c r="A16" s="185" t="s">
        <v>63</v>
      </c>
      <c r="B16" s="282">
        <v>8.7999999999999995E-2</v>
      </c>
      <c r="C16" s="282">
        <v>9.1999999999999998E-2</v>
      </c>
      <c r="D16" s="282">
        <v>0.1032</v>
      </c>
      <c r="E16" s="282">
        <v>0.1142</v>
      </c>
      <c r="F16" s="283">
        <v>0.12</v>
      </c>
      <c r="G16" s="283">
        <v>0.11799999999999999</v>
      </c>
      <c r="H16" s="283">
        <v>0.115</v>
      </c>
      <c r="I16" s="283">
        <v>0.113</v>
      </c>
      <c r="J16" s="283">
        <v>0.11</v>
      </c>
      <c r="K16" s="283">
        <v>0.108</v>
      </c>
      <c r="L16" s="283">
        <v>0.106</v>
      </c>
      <c r="M16" s="283">
        <v>0.105</v>
      </c>
      <c r="N16" s="283">
        <v>0.10299999999999999</v>
      </c>
      <c r="O16" s="283">
        <v>0.10299999999999999</v>
      </c>
    </row>
    <row r="17" spans="1:15" x14ac:dyDescent="0.3">
      <c r="A17" s="186" t="s">
        <v>81</v>
      </c>
      <c r="B17" s="293">
        <v>5.5399999999999998E-2</v>
      </c>
      <c r="C17" s="293">
        <v>3.3599999999999998E-2</v>
      </c>
      <c r="D17" s="293">
        <v>3.3300000000000003E-2</v>
      </c>
      <c r="E17" s="293">
        <v>3.6200000000000003E-2</v>
      </c>
      <c r="F17" s="294">
        <v>3.5000000000000003E-2</v>
      </c>
      <c r="G17" s="294">
        <v>3.7999999999999999E-2</v>
      </c>
      <c r="H17" s="294">
        <v>3.6999999999999998E-2</v>
      </c>
      <c r="I17" s="294">
        <v>3.5999999999999997E-2</v>
      </c>
      <c r="J17" s="294">
        <v>3.5000000000000003E-2</v>
      </c>
      <c r="K17" s="294">
        <v>3.4000000000000002E-2</v>
      </c>
      <c r="L17" s="294">
        <v>3.3000000000000002E-2</v>
      </c>
      <c r="M17" s="294">
        <v>3.2000000000000001E-2</v>
      </c>
      <c r="N17" s="294">
        <v>3.1E-2</v>
      </c>
      <c r="O17" s="294">
        <v>0.03</v>
      </c>
    </row>
    <row r="18" spans="1:15" x14ac:dyDescent="0.3">
      <c r="A18" s="201" t="s">
        <v>82</v>
      </c>
      <c r="B18" s="295">
        <v>0.26</v>
      </c>
      <c r="C18" s="295">
        <v>0.254</v>
      </c>
      <c r="D18" s="295">
        <v>0.25559999999999999</v>
      </c>
      <c r="E18" s="295">
        <v>0.2555</v>
      </c>
      <c r="F18" s="296">
        <v>0.255</v>
      </c>
      <c r="G18" s="296">
        <v>0.255</v>
      </c>
      <c r="H18" s="296">
        <v>0.255</v>
      </c>
      <c r="I18" s="296">
        <v>0.255</v>
      </c>
      <c r="J18" s="296">
        <v>0.255</v>
      </c>
      <c r="K18" s="296">
        <v>0.255</v>
      </c>
      <c r="L18" s="296">
        <v>0.255</v>
      </c>
      <c r="M18" s="296">
        <v>0.255</v>
      </c>
      <c r="N18" s="296">
        <v>0.255</v>
      </c>
      <c r="O18" s="296">
        <v>0.255</v>
      </c>
    </row>
    <row r="20" spans="1:15" ht="22.05" customHeight="1" x14ac:dyDescent="0.3">
      <c r="A20" s="40" t="s">
        <v>64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</row>
    <row r="21" spans="1:15" x14ac:dyDescent="0.3">
      <c r="A21" s="44" t="s">
        <v>65</v>
      </c>
      <c r="B21" s="44">
        <v>45</v>
      </c>
      <c r="C21" s="44">
        <v>42</v>
      </c>
      <c r="D21" s="44">
        <v>15</v>
      </c>
      <c r="E21" s="44">
        <v>26</v>
      </c>
      <c r="F21" s="268">
        <v>28</v>
      </c>
      <c r="G21" s="268">
        <v>30</v>
      </c>
      <c r="H21" s="268">
        <v>30</v>
      </c>
      <c r="I21" s="268">
        <v>30</v>
      </c>
      <c r="J21" s="268">
        <v>30</v>
      </c>
      <c r="K21" s="269">
        <v>30</v>
      </c>
      <c r="L21" s="269">
        <v>30</v>
      </c>
      <c r="M21" s="269">
        <v>30</v>
      </c>
      <c r="N21" s="269">
        <v>30</v>
      </c>
      <c r="O21" s="269">
        <v>30</v>
      </c>
    </row>
    <row r="22" spans="1:15" x14ac:dyDescent="0.3">
      <c r="A22" s="39" t="s">
        <v>66</v>
      </c>
      <c r="B22" s="39">
        <v>90</v>
      </c>
      <c r="C22" s="39">
        <v>85</v>
      </c>
      <c r="D22" s="39">
        <v>53</v>
      </c>
      <c r="E22" s="39">
        <v>56</v>
      </c>
      <c r="F22" s="237">
        <v>56</v>
      </c>
      <c r="G22" s="237">
        <v>56</v>
      </c>
      <c r="H22" s="237">
        <v>55</v>
      </c>
      <c r="I22" s="237">
        <v>54</v>
      </c>
      <c r="J22" s="237">
        <v>53</v>
      </c>
      <c r="K22" s="270">
        <v>52</v>
      </c>
      <c r="L22" s="270">
        <v>51</v>
      </c>
      <c r="M22" s="270">
        <v>50</v>
      </c>
      <c r="N22" s="270">
        <v>49</v>
      </c>
      <c r="O22" s="270">
        <v>48</v>
      </c>
    </row>
    <row r="23" spans="1:15" x14ac:dyDescent="0.3">
      <c r="A23" s="44" t="s">
        <v>67</v>
      </c>
      <c r="B23" s="44">
        <v>81</v>
      </c>
      <c r="C23" s="44">
        <v>79</v>
      </c>
      <c r="D23" s="44">
        <v>36</v>
      </c>
      <c r="E23" s="44">
        <v>37</v>
      </c>
      <c r="F23" s="268">
        <v>38</v>
      </c>
      <c r="G23" s="268">
        <v>40</v>
      </c>
      <c r="H23" s="268">
        <v>42</v>
      </c>
      <c r="I23" s="268">
        <v>44</v>
      </c>
      <c r="J23" s="268">
        <v>46</v>
      </c>
      <c r="K23" s="269">
        <v>48</v>
      </c>
      <c r="L23" s="269">
        <v>50</v>
      </c>
      <c r="M23" s="269">
        <v>52</v>
      </c>
      <c r="N23" s="269">
        <v>54</v>
      </c>
      <c r="O23" s="269">
        <v>55</v>
      </c>
    </row>
    <row r="25" spans="1:15" ht="22.05" customHeight="1" x14ac:dyDescent="0.3">
      <c r="A25" s="40" t="s">
        <v>68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</row>
    <row r="26" spans="1:15" x14ac:dyDescent="0.3">
      <c r="A26" s="39" t="s">
        <v>69</v>
      </c>
      <c r="B26" s="39">
        <v>30</v>
      </c>
      <c r="C26" s="39">
        <v>50</v>
      </c>
      <c r="D26" s="39">
        <v>152.81</v>
      </c>
      <c r="E26" s="39">
        <v>210.02</v>
      </c>
      <c r="F26" s="237">
        <v>250</v>
      </c>
      <c r="G26" s="237">
        <v>240</v>
      </c>
      <c r="H26" s="237">
        <v>150</v>
      </c>
      <c r="I26" s="237">
        <v>130</v>
      </c>
      <c r="J26" s="237">
        <v>100</v>
      </c>
      <c r="K26" s="270">
        <v>100</v>
      </c>
      <c r="L26" s="270">
        <v>90</v>
      </c>
      <c r="M26" s="270">
        <v>90</v>
      </c>
      <c r="N26" s="270">
        <v>90</v>
      </c>
      <c r="O26" s="270">
        <v>90</v>
      </c>
    </row>
    <row r="27" spans="1:15" x14ac:dyDescent="0.3">
      <c r="A27" s="44" t="s">
        <v>70</v>
      </c>
      <c r="B27" s="267">
        <f t="shared" ref="B27:J27" si="2">IF(B5&gt;0,B26/B5,0)</f>
        <v>4.3719032352083936E-2</v>
      </c>
      <c r="C27" s="267">
        <f t="shared" si="2"/>
        <v>4.1257869938690801E-2</v>
      </c>
      <c r="D27" s="267">
        <f t="shared" si="2"/>
        <v>9.9411894817648352E-2</v>
      </c>
      <c r="E27" s="267">
        <f t="shared" si="2"/>
        <v>0.10980691508551052</v>
      </c>
      <c r="F27" s="267">
        <f t="shared" si="2"/>
        <v>0.10626834909016653</v>
      </c>
      <c r="G27" s="267">
        <f t="shared" si="2"/>
        <v>8.3620996005376896E-2</v>
      </c>
      <c r="H27" s="267">
        <f t="shared" si="2"/>
        <v>4.3371885894905024E-2</v>
      </c>
      <c r="I27" s="267">
        <f t="shared" si="2"/>
        <v>3.1455203159484843E-2</v>
      </c>
      <c r="J27" s="267">
        <f t="shared" si="2"/>
        <v>2.0418827107747374E-2</v>
      </c>
      <c r="K27" s="267">
        <f>IF(K5&gt;0,K26/K5,0)</f>
        <v>1.7377725198082863E-2</v>
      </c>
      <c r="L27" s="267">
        <f>IF(L5&gt;0,L26/L5,0)</f>
        <v>1.3424852084355862E-2</v>
      </c>
      <c r="M27" s="267">
        <f>IF(M5&gt;0,M26/M5,0)</f>
        <v>1.1623248557883867E-2</v>
      </c>
      <c r="N27" s="267">
        <f>IF(N5&gt;0,N26/N5,0)</f>
        <v>1.0151308784178041E-2</v>
      </c>
      <c r="O27" s="267">
        <f>IF(O5&gt;0,O26/O5,0)</f>
        <v>8.9046568282263542E-3</v>
      </c>
    </row>
    <row r="28" spans="1:15" x14ac:dyDescent="0.3">
      <c r="A28" s="62" t="s">
        <v>71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</row>
    <row r="29" spans="1:15" ht="22.05" customHeight="1" x14ac:dyDescent="0.3">
      <c r="A29" s="40" t="s">
        <v>72</v>
      </c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</row>
    <row r="30" spans="1:15" x14ac:dyDescent="0.3">
      <c r="A30" s="184" t="s">
        <v>73</v>
      </c>
      <c r="B30" s="288">
        <v>0.124</v>
      </c>
      <c r="C30" s="217"/>
      <c r="D30" s="217"/>
      <c r="E30" s="217"/>
      <c r="F30" s="217"/>
      <c r="G30" s="217"/>
      <c r="H30" s="217"/>
      <c r="I30" s="217"/>
      <c r="J30" s="217"/>
      <c r="K30" s="217"/>
      <c r="L30" s="217"/>
      <c r="M30" s="217"/>
      <c r="N30" s="217"/>
      <c r="O30" s="217"/>
    </row>
    <row r="31" spans="1:15" x14ac:dyDescent="0.3">
      <c r="A31" s="186" t="s">
        <v>74</v>
      </c>
      <c r="B31" s="294">
        <v>6.5000000000000002E-2</v>
      </c>
      <c r="C31" s="186"/>
      <c r="D31" s="186"/>
      <c r="E31" s="186"/>
      <c r="F31" s="186"/>
      <c r="G31" s="186"/>
      <c r="H31" s="186"/>
      <c r="I31" s="186"/>
      <c r="J31" s="186"/>
      <c r="K31" s="186"/>
      <c r="L31" s="186"/>
      <c r="M31" s="186"/>
      <c r="N31" s="186"/>
      <c r="O31" s="186"/>
    </row>
    <row r="32" spans="1:15" x14ac:dyDescent="0.3">
      <c r="A32" s="185" t="s">
        <v>463</v>
      </c>
      <c r="B32" s="283">
        <v>6.7000000000000004E-2</v>
      </c>
      <c r="C32" s="185"/>
      <c r="D32" s="185"/>
      <c r="E32" s="185"/>
      <c r="F32" s="185"/>
      <c r="G32" s="185"/>
      <c r="H32" s="185"/>
      <c r="I32" s="185"/>
      <c r="J32" s="185"/>
      <c r="K32" s="185"/>
      <c r="L32" s="185"/>
      <c r="M32" s="185"/>
      <c r="N32" s="185"/>
      <c r="O32" s="185"/>
    </row>
    <row r="33" spans="1:15" x14ac:dyDescent="0.3">
      <c r="A33" s="186" t="s">
        <v>83</v>
      </c>
      <c r="B33" s="294">
        <v>7.0000000000000007E-2</v>
      </c>
      <c r="C33" s="186"/>
      <c r="D33" s="186"/>
      <c r="E33" s="186"/>
      <c r="F33" s="186"/>
      <c r="G33" s="186"/>
      <c r="H33" s="186"/>
      <c r="I33" s="186"/>
      <c r="J33" s="186"/>
      <c r="K33" s="186"/>
      <c r="L33" s="186"/>
      <c r="M33" s="186"/>
      <c r="N33" s="186"/>
      <c r="O33" s="186"/>
    </row>
    <row r="34" spans="1:15" x14ac:dyDescent="0.3">
      <c r="A34" s="185" t="s">
        <v>75</v>
      </c>
      <c r="B34" s="239">
        <v>0.85</v>
      </c>
      <c r="C34" s="185"/>
      <c r="D34" s="185"/>
      <c r="E34" s="185"/>
      <c r="F34" s="185"/>
      <c r="G34" s="185"/>
      <c r="H34" s="185"/>
      <c r="I34" s="185"/>
      <c r="J34" s="185"/>
      <c r="K34" s="185"/>
      <c r="L34" s="185"/>
      <c r="M34" s="185"/>
      <c r="N34" s="185"/>
      <c r="O34" s="185"/>
    </row>
    <row r="35" spans="1:15" x14ac:dyDescent="0.3">
      <c r="A35" s="186" t="s">
        <v>84</v>
      </c>
      <c r="B35" s="297">
        <f>B32+B34*B33</f>
        <v>0.1265</v>
      </c>
      <c r="C35" s="186"/>
      <c r="D35" s="186"/>
      <c r="E35" s="186"/>
      <c r="F35" s="186"/>
      <c r="G35" s="186"/>
      <c r="H35" s="186"/>
      <c r="I35" s="186"/>
      <c r="J35" s="186"/>
      <c r="K35" s="186"/>
      <c r="L35" s="186"/>
      <c r="M35" s="186"/>
      <c r="N35" s="186"/>
      <c r="O35" s="186"/>
    </row>
    <row r="36" spans="1:15" x14ac:dyDescent="0.3">
      <c r="A36" s="185" t="s">
        <v>76</v>
      </c>
      <c r="B36" s="298">
        <v>8.7499999999999994E-2</v>
      </c>
      <c r="C36" s="185"/>
      <c r="D36" s="185"/>
      <c r="E36" s="185"/>
      <c r="F36" s="298">
        <v>8.7499999999999994E-2</v>
      </c>
      <c r="G36" s="298">
        <v>8.7499999999999994E-2</v>
      </c>
      <c r="H36" s="298">
        <v>8.5000000000000006E-2</v>
      </c>
      <c r="I36" s="298">
        <v>8.5000000000000006E-2</v>
      </c>
      <c r="J36" s="298">
        <v>8.2500000000000004E-2</v>
      </c>
      <c r="K36" s="298">
        <v>8.2500000000000004E-2</v>
      </c>
      <c r="L36" s="298">
        <v>8.2500000000000004E-2</v>
      </c>
      <c r="M36" s="298">
        <v>8.2500000000000004E-2</v>
      </c>
      <c r="N36" s="298">
        <v>8.2500000000000004E-2</v>
      </c>
      <c r="O36" s="298">
        <v>8.2500000000000004E-2</v>
      </c>
    </row>
    <row r="37" spans="1:15" x14ac:dyDescent="0.3">
      <c r="A37" s="186" t="s">
        <v>85</v>
      </c>
      <c r="B37" s="299">
        <v>0.05</v>
      </c>
      <c r="C37" s="186"/>
      <c r="D37" s="186"/>
      <c r="E37" s="186"/>
      <c r="F37" s="186"/>
      <c r="G37" s="186"/>
      <c r="H37" s="186"/>
      <c r="I37" s="186"/>
      <c r="J37" s="186"/>
      <c r="K37" s="186"/>
      <c r="L37" s="186"/>
      <c r="M37" s="186"/>
      <c r="N37" s="186"/>
      <c r="O37" s="186"/>
    </row>
    <row r="38" spans="1:15" x14ac:dyDescent="0.3">
      <c r="A38" s="241" t="s">
        <v>77</v>
      </c>
      <c r="B38" s="300">
        <f>B35*(1-B37)+B36*(1-Assumptions!B18)*B37</f>
        <v>0.12341249999999999</v>
      </c>
      <c r="C38" s="301">
        <f>(((1+F38)*(1+G38)*(1+H38)*(1+I38)*(1+J38)*(1+K38)*(1+L38)*(1+M38)*(1+N38)*(1+O38))^(1/10))-1</f>
        <v>0.12328299756259242</v>
      </c>
      <c r="D38" s="241"/>
      <c r="E38" s="241"/>
      <c r="F38" s="302">
        <f>B35*(1-B37)+F36*(1-B18)*B37</f>
        <v>0.12341249999999999</v>
      </c>
      <c r="G38" s="302">
        <f>B35*(1-B37)+G36*(1-B18)*B37</f>
        <v>0.12341249999999999</v>
      </c>
      <c r="H38" s="302">
        <f>B35*(1-B37)+H36*(1-B18)*B37</f>
        <v>0.12331999999999999</v>
      </c>
      <c r="I38" s="302">
        <f>B35*(1-B37)+I36*(1-B18)*B37</f>
        <v>0.12331999999999999</v>
      </c>
      <c r="J38" s="302">
        <f>B35*(1-B37)+J36*(1-B18)*B37</f>
        <v>0.12322749999999999</v>
      </c>
      <c r="K38" s="303">
        <f>B35*(1-B37)+K36*(1-B18)*B37</f>
        <v>0.12322749999999999</v>
      </c>
      <c r="L38" s="303">
        <f>B35*(1-B37)+L36*(1-B18)*B37</f>
        <v>0.12322749999999999</v>
      </c>
      <c r="M38" s="303">
        <f>B35*(1-B37)+M36*(1-B18)*B37</f>
        <v>0.12322749999999999</v>
      </c>
      <c r="N38" s="303">
        <f>B35*(1-B37)+N36*(1-B18)*B37</f>
        <v>0.12322749999999999</v>
      </c>
      <c r="O38" s="303">
        <f>B35*(1-B37)+O36*(1-B18)*B37</f>
        <v>0.12322749999999999</v>
      </c>
    </row>
    <row r="39" spans="1:15" x14ac:dyDescent="0.3">
      <c r="A39" s="248" t="s">
        <v>464</v>
      </c>
      <c r="B39" s="304">
        <f>B30</f>
        <v>0.124</v>
      </c>
      <c r="C39" s="248"/>
      <c r="D39" s="248"/>
      <c r="E39" s="248"/>
      <c r="F39" s="248"/>
      <c r="G39" s="248"/>
      <c r="H39" s="248"/>
      <c r="I39" s="248"/>
      <c r="J39" s="248"/>
      <c r="K39" s="248"/>
      <c r="L39" s="248"/>
      <c r="M39" s="248"/>
      <c r="N39" s="248"/>
      <c r="O39" s="248"/>
    </row>
    <row r="40" spans="1:15" ht="22.05" customHeight="1" x14ac:dyDescent="0.3">
      <c r="A40" s="40" t="s">
        <v>78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</row>
    <row r="41" spans="1:15" x14ac:dyDescent="0.3">
      <c r="A41" s="8" t="s">
        <v>482</v>
      </c>
      <c r="B41" s="2" t="s">
        <v>86</v>
      </c>
    </row>
    <row r="42" spans="1:15" x14ac:dyDescent="0.3">
      <c r="A42" s="2" t="s">
        <v>481</v>
      </c>
      <c r="B42" s="2" t="s">
        <v>87</v>
      </c>
    </row>
    <row r="43" spans="1:15" x14ac:dyDescent="0.3">
      <c r="A43" s="2" t="s">
        <v>88</v>
      </c>
      <c r="B43" s="2" t="s">
        <v>89</v>
      </c>
    </row>
    <row r="45" spans="1:15" ht="22.05" customHeight="1" x14ac:dyDescent="0.3">
      <c r="A45" s="40" t="s">
        <v>500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</row>
    <row r="46" spans="1:15" x14ac:dyDescent="0.3">
      <c r="A46" s="21" t="s">
        <v>501</v>
      </c>
    </row>
    <row r="48" spans="1:15" ht="15" thickBot="1" x14ac:dyDescent="0.35">
      <c r="A48" s="266" t="s">
        <v>502</v>
      </c>
      <c r="B48" s="266" t="s">
        <v>503</v>
      </c>
      <c r="C48" s="266" t="s">
        <v>504</v>
      </c>
      <c r="D48" s="266" t="s">
        <v>91</v>
      </c>
    </row>
    <row r="49" spans="1:4" x14ac:dyDescent="0.3">
      <c r="A49" s="271" t="s">
        <v>505</v>
      </c>
      <c r="B49" s="170"/>
      <c r="C49" s="170"/>
      <c r="D49" s="170"/>
    </row>
    <row r="50" spans="1:4" x14ac:dyDescent="0.3">
      <c r="A50" s="169" t="s">
        <v>506</v>
      </c>
      <c r="B50" s="169" t="s">
        <v>92</v>
      </c>
      <c r="C50" s="272">
        <v>0.24399999999999999</v>
      </c>
      <c r="D50" s="273" t="s">
        <v>93</v>
      </c>
    </row>
    <row r="51" spans="1:4" x14ac:dyDescent="0.3">
      <c r="A51" s="170" t="s">
        <v>507</v>
      </c>
      <c r="B51" s="170" t="s">
        <v>508</v>
      </c>
      <c r="C51" s="170" t="s">
        <v>509</v>
      </c>
      <c r="D51" s="274" t="s">
        <v>510</v>
      </c>
    </row>
    <row r="52" spans="1:4" x14ac:dyDescent="0.3">
      <c r="A52" s="169" t="s">
        <v>511</v>
      </c>
      <c r="B52" s="169" t="s">
        <v>512</v>
      </c>
      <c r="C52" s="169" t="s">
        <v>513</v>
      </c>
      <c r="D52" s="273" t="s">
        <v>510</v>
      </c>
    </row>
    <row r="53" spans="1:4" x14ac:dyDescent="0.3">
      <c r="A53" s="170" t="s">
        <v>514</v>
      </c>
      <c r="B53" s="170" t="s">
        <v>515</v>
      </c>
      <c r="C53" s="170" t="s">
        <v>516</v>
      </c>
      <c r="D53" s="274" t="s">
        <v>517</v>
      </c>
    </row>
    <row r="54" spans="1:4" x14ac:dyDescent="0.3">
      <c r="A54" s="275" t="s">
        <v>518</v>
      </c>
      <c r="B54" s="275" t="s">
        <v>519</v>
      </c>
      <c r="C54" s="275" t="s">
        <v>520</v>
      </c>
      <c r="D54" s="276" t="s">
        <v>93</v>
      </c>
    </row>
    <row r="56" spans="1:4" x14ac:dyDescent="0.3">
      <c r="A56" s="54" t="s">
        <v>521</v>
      </c>
      <c r="B56" s="54"/>
      <c r="C56" s="54"/>
      <c r="D56" s="54"/>
    </row>
    <row r="57" spans="1:4" x14ac:dyDescent="0.3">
      <c r="A57" s="2" t="s">
        <v>506</v>
      </c>
      <c r="B57" s="2" t="s">
        <v>94</v>
      </c>
      <c r="C57" s="31">
        <v>0.182</v>
      </c>
      <c r="D57" s="23" t="s">
        <v>93</v>
      </c>
    </row>
    <row r="58" spans="1:4" x14ac:dyDescent="0.3">
      <c r="A58" s="25" t="s">
        <v>522</v>
      </c>
      <c r="B58" s="25" t="s">
        <v>523</v>
      </c>
      <c r="C58" s="25" t="s">
        <v>524</v>
      </c>
      <c r="D58" s="26" t="s">
        <v>93</v>
      </c>
    </row>
    <row r="60" spans="1:4" x14ac:dyDescent="0.3">
      <c r="A60" s="54" t="s">
        <v>525</v>
      </c>
      <c r="B60" s="54"/>
      <c r="C60" s="54"/>
      <c r="D60" s="54"/>
    </row>
    <row r="61" spans="1:4" x14ac:dyDescent="0.3">
      <c r="A61" s="2" t="s">
        <v>506</v>
      </c>
      <c r="B61" s="2" t="s">
        <v>526</v>
      </c>
      <c r="C61" s="2" t="s">
        <v>527</v>
      </c>
      <c r="D61" s="23" t="s">
        <v>528</v>
      </c>
    </row>
    <row r="62" spans="1:4" x14ac:dyDescent="0.3">
      <c r="A62" s="2" t="s">
        <v>529</v>
      </c>
      <c r="B62" s="2" t="s">
        <v>530</v>
      </c>
      <c r="C62" s="2" t="s">
        <v>531</v>
      </c>
      <c r="D62" s="23" t="s">
        <v>93</v>
      </c>
    </row>
    <row r="63" spans="1:4" x14ac:dyDescent="0.3">
      <c r="A63" s="2" t="s">
        <v>532</v>
      </c>
      <c r="B63" s="2" t="s">
        <v>533</v>
      </c>
      <c r="C63" s="2" t="s">
        <v>534</v>
      </c>
      <c r="D63" s="23" t="s">
        <v>93</v>
      </c>
    </row>
    <row r="64" spans="1:4" x14ac:dyDescent="0.3">
      <c r="A64" s="25" t="s">
        <v>535</v>
      </c>
      <c r="B64" s="25" t="s">
        <v>519</v>
      </c>
      <c r="C64" s="25" t="s">
        <v>536</v>
      </c>
      <c r="D64" s="27" t="s">
        <v>95</v>
      </c>
    </row>
    <row r="66" spans="1:4" x14ac:dyDescent="0.3">
      <c r="A66" s="54" t="s">
        <v>537</v>
      </c>
      <c r="B66" s="54"/>
      <c r="C66" s="54"/>
      <c r="D66" s="54"/>
    </row>
    <row r="67" spans="1:4" x14ac:dyDescent="0.3">
      <c r="A67" s="25" t="s">
        <v>506</v>
      </c>
      <c r="B67" s="25" t="s">
        <v>94</v>
      </c>
      <c r="C67" s="25" t="s">
        <v>538</v>
      </c>
      <c r="D67" s="27" t="s">
        <v>95</v>
      </c>
    </row>
    <row r="69" spans="1:4" x14ac:dyDescent="0.3">
      <c r="A69" s="54" t="s">
        <v>539</v>
      </c>
      <c r="B69" s="54"/>
      <c r="C69" s="54"/>
      <c r="D69" s="54"/>
    </row>
    <row r="70" spans="1:4" x14ac:dyDescent="0.3">
      <c r="A70" s="2" t="s">
        <v>540</v>
      </c>
      <c r="B70" s="2" t="s">
        <v>541</v>
      </c>
      <c r="C70" s="2" t="s">
        <v>542</v>
      </c>
      <c r="D70" s="24" t="s">
        <v>543</v>
      </c>
    </row>
    <row r="71" spans="1:4" x14ac:dyDescent="0.3">
      <c r="A71" s="2" t="s">
        <v>544</v>
      </c>
      <c r="B71" s="2" t="s">
        <v>545</v>
      </c>
      <c r="C71" s="2" t="s">
        <v>546</v>
      </c>
      <c r="D71" s="22" t="s">
        <v>547</v>
      </c>
    </row>
    <row r="72" spans="1:4" x14ac:dyDescent="0.3">
      <c r="A72" s="25" t="s">
        <v>548</v>
      </c>
      <c r="B72" s="25" t="s">
        <v>549</v>
      </c>
      <c r="C72" s="25" t="s">
        <v>550</v>
      </c>
      <c r="D72" s="26" t="s">
        <v>510</v>
      </c>
    </row>
    <row r="74" spans="1:4" x14ac:dyDescent="0.3">
      <c r="A74" s="54" t="s">
        <v>551</v>
      </c>
      <c r="B74" s="54"/>
      <c r="C74" s="54"/>
      <c r="D74" s="54"/>
    </row>
    <row r="75" spans="1:4" x14ac:dyDescent="0.3">
      <c r="A75" s="3" t="s">
        <v>552</v>
      </c>
      <c r="B75" s="2" t="s">
        <v>96</v>
      </c>
      <c r="C75" s="2" t="s">
        <v>553</v>
      </c>
      <c r="D75" s="23" t="s">
        <v>554</v>
      </c>
    </row>
    <row r="76" spans="1:4" x14ac:dyDescent="0.3">
      <c r="A76" s="28" t="s">
        <v>555</v>
      </c>
      <c r="B76" s="25" t="s">
        <v>556</v>
      </c>
      <c r="C76" s="25" t="s">
        <v>557</v>
      </c>
      <c r="D76" s="26" t="s">
        <v>558</v>
      </c>
    </row>
    <row r="78" spans="1:4" x14ac:dyDescent="0.3">
      <c r="A78" s="54" t="s">
        <v>559</v>
      </c>
      <c r="B78" s="54"/>
      <c r="C78" s="54"/>
      <c r="D78" s="54"/>
    </row>
    <row r="79" spans="1:4" x14ac:dyDescent="0.3">
      <c r="A79" s="2" t="s">
        <v>560</v>
      </c>
      <c r="B79" s="2" t="s">
        <v>561</v>
      </c>
      <c r="C79" s="2" t="s">
        <v>562</v>
      </c>
      <c r="D79" s="23" t="s">
        <v>563</v>
      </c>
    </row>
    <row r="80" spans="1:4" x14ac:dyDescent="0.3">
      <c r="A80" s="2" t="s">
        <v>564</v>
      </c>
      <c r="B80" s="2" t="s">
        <v>237</v>
      </c>
      <c r="C80" s="2" t="s">
        <v>565</v>
      </c>
      <c r="D80" s="22" t="s">
        <v>566</v>
      </c>
    </row>
    <row r="81" spans="1:15" ht="15" thickBot="1" x14ac:dyDescent="0.35">
      <c r="A81" s="29" t="s">
        <v>567</v>
      </c>
      <c r="B81" s="29" t="s">
        <v>568</v>
      </c>
      <c r="C81" s="29" t="s">
        <v>569</v>
      </c>
      <c r="D81" s="30" t="s">
        <v>570</v>
      </c>
    </row>
    <row r="83" spans="1:15" x14ac:dyDescent="0.3">
      <c r="A83" s="54" t="s">
        <v>571</v>
      </c>
      <c r="B83" s="54"/>
      <c r="C83" s="54"/>
      <c r="D83" s="54"/>
    </row>
    <row r="84" spans="1:15" x14ac:dyDescent="0.3">
      <c r="A84" s="2" t="s">
        <v>572</v>
      </c>
    </row>
    <row r="85" spans="1:15" x14ac:dyDescent="0.3">
      <c r="A85" s="2" t="s">
        <v>573</v>
      </c>
    </row>
    <row r="86" spans="1:15" x14ac:dyDescent="0.3">
      <c r="A86" s="33" t="s">
        <v>586</v>
      </c>
      <c r="B86" s="32"/>
      <c r="C86" s="32"/>
      <c r="D86" s="32"/>
    </row>
    <row r="89" spans="1:15" ht="22.05" customHeight="1" x14ac:dyDescent="0.3">
      <c r="A89" s="40" t="s">
        <v>97</v>
      </c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</row>
    <row r="90" spans="1:15" x14ac:dyDescent="0.3">
      <c r="A90" t="s">
        <v>98</v>
      </c>
      <c r="B90" s="20">
        <v>6.069</v>
      </c>
    </row>
    <row r="91" spans="1:15" x14ac:dyDescent="0.3">
      <c r="A91" t="s">
        <v>99</v>
      </c>
      <c r="B91" s="15">
        <v>9.4E-2</v>
      </c>
    </row>
    <row r="92" spans="1:15" x14ac:dyDescent="0.3">
      <c r="A92" t="s">
        <v>100</v>
      </c>
      <c r="B92" s="7">
        <v>2350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C0928-2DFF-425E-9415-5458A9631ECC}">
  <sheetPr>
    <tabColor rgb="FF1B3A5C"/>
  </sheetPr>
  <dimension ref="A1:O30"/>
  <sheetViews>
    <sheetView showGridLines="0" workbookViewId="0">
      <pane xSplit="1" topLeftCell="G1" activePane="topRight" state="frozen"/>
      <selection pane="topRight"/>
    </sheetView>
  </sheetViews>
  <sheetFormatPr defaultRowHeight="14.4" x14ac:dyDescent="0.3"/>
  <cols>
    <col min="1" max="1" width="46.33203125" customWidth="1"/>
    <col min="2" max="10" width="17.5546875" customWidth="1"/>
    <col min="11" max="12" width="17.21875" customWidth="1"/>
    <col min="13" max="13" width="16.77734375" customWidth="1"/>
    <col min="14" max="14" width="17" customWidth="1"/>
    <col min="15" max="15" width="16.33203125" customWidth="1"/>
  </cols>
  <sheetData>
    <row r="1" spans="1:15" ht="28.05" customHeight="1" x14ac:dyDescent="0.35">
      <c r="A1" s="176" t="s">
        <v>101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</row>
    <row r="2" spans="1:15" x14ac:dyDescent="0.3">
      <c r="A2" s="38" t="s">
        <v>102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</row>
    <row r="3" spans="1:15" x14ac:dyDescent="0.3">
      <c r="A3" s="37"/>
      <c r="B3" s="178" t="s">
        <v>45</v>
      </c>
      <c r="C3" s="178" t="s">
        <v>46</v>
      </c>
      <c r="D3" s="178" t="s">
        <v>47</v>
      </c>
      <c r="E3" s="178" t="s">
        <v>48</v>
      </c>
      <c r="F3" s="178" t="s">
        <v>49</v>
      </c>
      <c r="G3" s="178" t="s">
        <v>50</v>
      </c>
      <c r="H3" s="178" t="s">
        <v>51</v>
      </c>
      <c r="I3" s="178" t="s">
        <v>52</v>
      </c>
      <c r="J3" s="178" t="s">
        <v>53</v>
      </c>
      <c r="K3" s="178" t="s">
        <v>486</v>
      </c>
      <c r="L3" s="178" t="s">
        <v>487</v>
      </c>
      <c r="M3" s="178" t="s">
        <v>488</v>
      </c>
      <c r="N3" s="178" t="s">
        <v>489</v>
      </c>
      <c r="O3" s="178" t="s">
        <v>490</v>
      </c>
    </row>
    <row r="4" spans="1:15" x14ac:dyDescent="0.3">
      <c r="A4" s="205" t="s">
        <v>103</v>
      </c>
      <c r="B4" s="206">
        <v>686.2</v>
      </c>
      <c r="C4" s="206">
        <f>Assumptions!C5</f>
        <v>1211.8900000000001</v>
      </c>
      <c r="D4" s="206">
        <f>Assumptions!D5</f>
        <v>1537.14</v>
      </c>
      <c r="E4" s="206">
        <f>Assumptions!E5</f>
        <v>1912.63</v>
      </c>
      <c r="F4" s="207">
        <f>'Revenue Build'!F14</f>
        <v>2352.5349000000001</v>
      </c>
      <c r="G4" s="207">
        <f>'Revenue Build'!G14</f>
        <v>2870.0925780000016</v>
      </c>
      <c r="H4" s="207">
        <f>'Revenue Build'!H14</f>
        <v>3458.4615564900023</v>
      </c>
      <c r="I4" s="207">
        <f>'Revenue Build'!I14</f>
        <v>4132.8615600055491</v>
      </c>
      <c r="J4" s="207">
        <f>'Revenue Build'!J14</f>
        <v>4897.4409486065779</v>
      </c>
      <c r="K4" s="207">
        <f>'Revenue Build'!K14</f>
        <v>5754.493114612731</v>
      </c>
      <c r="L4" s="207">
        <f>'Revenue Build'!L14</f>
        <v>6703.9844785238311</v>
      </c>
      <c r="M4" s="207">
        <f>'Revenue Build'!M14</f>
        <v>7743.1020726950228</v>
      </c>
      <c r="N4" s="207">
        <f>'Revenue Build'!N14</f>
        <v>8865.8518732358079</v>
      </c>
      <c r="O4" s="207">
        <f>'Revenue Build'!O14</f>
        <v>10107.071135488819</v>
      </c>
    </row>
    <row r="5" spans="1:15" x14ac:dyDescent="0.3">
      <c r="A5" s="203" t="s">
        <v>104</v>
      </c>
      <c r="B5" s="203"/>
      <c r="C5" s="204">
        <f t="shared" ref="C5:J5" si="0">(C4-B4)/B4</f>
        <v>0.76608860390556688</v>
      </c>
      <c r="D5" s="204">
        <f t="shared" si="0"/>
        <v>0.26838244395118366</v>
      </c>
      <c r="E5" s="204">
        <f t="shared" si="0"/>
        <v>0.24427833508984217</v>
      </c>
      <c r="F5" s="204">
        <f t="shared" si="0"/>
        <v>0.22999999999999998</v>
      </c>
      <c r="G5" s="204">
        <f t="shared" si="0"/>
        <v>0.22000000000000061</v>
      </c>
      <c r="H5" s="204">
        <f t="shared" si="0"/>
        <v>0.20500000000000013</v>
      </c>
      <c r="I5" s="204">
        <f t="shared" si="0"/>
        <v>0.19499999999999895</v>
      </c>
      <c r="J5" s="204">
        <f t="shared" si="0"/>
        <v>0.18500000000000053</v>
      </c>
      <c r="K5" s="204">
        <f t="shared" ref="K5" si="1">(K4-J4)/J4</f>
        <v>0.17500000000000041</v>
      </c>
      <c r="L5" s="204">
        <f t="shared" ref="L5" si="2">(L4-K4)/K4</f>
        <v>0.1649999999999999</v>
      </c>
      <c r="M5" s="204">
        <f t="shared" ref="M5" si="3">(M4-L4)/L4</f>
        <v>0.15499999999999969</v>
      </c>
      <c r="N5" s="204">
        <f t="shared" ref="N5" si="4">(N4-M4)/M4</f>
        <v>0.14500000000000088</v>
      </c>
      <c r="O5" s="204">
        <f t="shared" ref="O5" si="5">(O4-N4)/N4</f>
        <v>0.13999999999999976</v>
      </c>
    </row>
    <row r="6" spans="1:15" x14ac:dyDescent="0.3">
      <c r="A6" s="185"/>
      <c r="B6" s="185"/>
      <c r="C6" s="185"/>
      <c r="D6" s="185"/>
      <c r="E6" s="185"/>
      <c r="F6" s="185"/>
      <c r="G6" s="185"/>
      <c r="H6" s="185"/>
      <c r="I6" s="185"/>
      <c r="J6" s="185"/>
      <c r="K6" s="185"/>
      <c r="L6" s="185"/>
      <c r="M6" s="185"/>
      <c r="N6" s="185"/>
      <c r="O6" s="185"/>
    </row>
    <row r="7" spans="1:15" x14ac:dyDescent="0.3">
      <c r="A7" s="208" t="s">
        <v>105</v>
      </c>
      <c r="B7" s="208">
        <v>-473.48</v>
      </c>
      <c r="C7" s="208">
        <v>-780.46</v>
      </c>
      <c r="D7" s="208">
        <v>-892.75</v>
      </c>
      <c r="E7" s="208">
        <v>-1080.5999999999999</v>
      </c>
      <c r="F7" s="209">
        <f>-F4*(1-Assumptions!F12)</f>
        <v>-1329.1822184999999</v>
      </c>
      <c r="G7" s="209">
        <f>-G4*(1-Assumptions!G12)</f>
        <v>-1607.251843680001</v>
      </c>
      <c r="H7" s="209">
        <f>-H4*(1-Assumptions!H12)</f>
        <v>-1919.446163851951</v>
      </c>
      <c r="I7" s="209">
        <f>-I4*(1-Assumptions!I12)</f>
        <v>-2281.3395811230635</v>
      </c>
      <c r="J7" s="209">
        <f>-J4*(1-Assumptions!J12)</f>
        <v>-2693.592521733618</v>
      </c>
      <c r="K7" s="209">
        <f>-K4*(1-Assumptions!K12)</f>
        <v>-3164.9712130370021</v>
      </c>
      <c r="L7" s="209">
        <f>-L4*(1-Assumptions!L12)</f>
        <v>-3673.7834942310596</v>
      </c>
      <c r="M7" s="209">
        <f>-M4*(1-Assumptions!M12)</f>
        <v>-4235.4768337641772</v>
      </c>
      <c r="N7" s="209">
        <f>-N4*(1-Assumptions!N12)</f>
        <v>-4831.8892709135143</v>
      </c>
      <c r="O7" s="209">
        <f>-O4*(1-Assumptions!O12)</f>
        <v>-5508.3537688414053</v>
      </c>
    </row>
    <row r="8" spans="1:15" x14ac:dyDescent="0.3">
      <c r="A8" s="210" t="s">
        <v>106</v>
      </c>
      <c r="B8" s="211">
        <f t="shared" ref="B8:J8" si="6">B4+B7</f>
        <v>212.72000000000003</v>
      </c>
      <c r="C8" s="211">
        <f t="shared" si="6"/>
        <v>431.43000000000006</v>
      </c>
      <c r="D8" s="211">
        <f t="shared" si="6"/>
        <v>644.3900000000001</v>
      </c>
      <c r="E8" s="211">
        <f t="shared" si="6"/>
        <v>832.0300000000002</v>
      </c>
      <c r="F8" s="212">
        <f t="shared" si="6"/>
        <v>1023.3526815000002</v>
      </c>
      <c r="G8" s="212">
        <f t="shared" si="6"/>
        <v>1262.8407343200006</v>
      </c>
      <c r="H8" s="212">
        <f t="shared" si="6"/>
        <v>1539.0153926380513</v>
      </c>
      <c r="I8" s="212">
        <f t="shared" si="6"/>
        <v>1851.5219788824857</v>
      </c>
      <c r="J8" s="212">
        <f t="shared" si="6"/>
        <v>2203.8484268729599</v>
      </c>
      <c r="K8" s="212">
        <f t="shared" ref="K8:O8" si="7">K4+K7</f>
        <v>2589.5219015757289</v>
      </c>
      <c r="L8" s="212">
        <f t="shared" si="7"/>
        <v>3030.2009842927714</v>
      </c>
      <c r="M8" s="212">
        <f t="shared" si="7"/>
        <v>3507.6252389308456</v>
      </c>
      <c r="N8" s="212">
        <f t="shared" si="7"/>
        <v>4033.9626023222936</v>
      </c>
      <c r="O8" s="212">
        <f t="shared" si="7"/>
        <v>4598.7173666474137</v>
      </c>
    </row>
    <row r="9" spans="1:15" x14ac:dyDescent="0.3">
      <c r="A9" s="203" t="s">
        <v>107</v>
      </c>
      <c r="B9" s="204">
        <f t="shared" ref="B9:J9" si="8">IF(B4&gt;0,B8/B4,0)</f>
        <v>0.30999708539784321</v>
      </c>
      <c r="C9" s="204">
        <f t="shared" si="8"/>
        <v>0.35599765655298748</v>
      </c>
      <c r="D9" s="204">
        <f t="shared" si="8"/>
        <v>0.41921360448625372</v>
      </c>
      <c r="E9" s="204">
        <f t="shared" si="8"/>
        <v>0.43501879610797706</v>
      </c>
      <c r="F9" s="204">
        <f t="shared" si="8"/>
        <v>0.43500000000000011</v>
      </c>
      <c r="G9" s="204">
        <f t="shared" si="8"/>
        <v>0.43999999999999995</v>
      </c>
      <c r="H9" s="204">
        <f t="shared" si="8"/>
        <v>0.44500000000000006</v>
      </c>
      <c r="I9" s="204">
        <f t="shared" si="8"/>
        <v>0.4479999999999999</v>
      </c>
      <c r="J9" s="204">
        <f t="shared" si="8"/>
        <v>0.44999999999999996</v>
      </c>
      <c r="K9" s="204">
        <f t="shared" ref="K9:O9" si="9">IF(K4&gt;0,K8/K4,0)</f>
        <v>0.45</v>
      </c>
      <c r="L9" s="204">
        <f t="shared" si="9"/>
        <v>0.45199999999999996</v>
      </c>
      <c r="M9" s="204">
        <f t="shared" si="9"/>
        <v>0.45300000000000001</v>
      </c>
      <c r="N9" s="204">
        <f t="shared" si="9"/>
        <v>0.45500000000000013</v>
      </c>
      <c r="O9" s="204">
        <f t="shared" si="9"/>
        <v>0.45500000000000013</v>
      </c>
    </row>
    <row r="10" spans="1:15" x14ac:dyDescent="0.3">
      <c r="A10" s="185"/>
      <c r="B10" s="185"/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</row>
    <row r="11" spans="1:15" x14ac:dyDescent="0.3">
      <c r="A11" s="186" t="s">
        <v>108</v>
      </c>
      <c r="B11" s="186">
        <v>-82.34</v>
      </c>
      <c r="C11" s="186">
        <v>-133.31</v>
      </c>
      <c r="D11" s="186">
        <v>-213.06</v>
      </c>
      <c r="E11" s="186">
        <v>-265.24</v>
      </c>
      <c r="F11" s="187">
        <f>-F4*Assumptions!F15</f>
        <v>-329.35488600000002</v>
      </c>
      <c r="G11" s="187">
        <f>-G4*Assumptions!G15</f>
        <v>-396.07277576400026</v>
      </c>
      <c r="H11" s="187">
        <f>-H4*Assumptions!H15</f>
        <v>-466.89231012615033</v>
      </c>
      <c r="I11" s="187">
        <f>-I4*Assumptions!I15</f>
        <v>-549.67058748073805</v>
      </c>
      <c r="J11" s="187">
        <f>-J4*Assumptions!J15</f>
        <v>-636.6673233188551</v>
      </c>
      <c r="K11" s="187">
        <f>-K4*Assumptions!K15</f>
        <v>-736.57511867042956</v>
      </c>
      <c r="L11" s="187">
        <f>-L4*Assumptions!L15</f>
        <v>-844.70204429400269</v>
      </c>
      <c r="M11" s="187">
        <f>-M4*Assumptions!M15</f>
        <v>-967.88775908687785</v>
      </c>
      <c r="N11" s="187">
        <f>-N4*Assumptions!N15</f>
        <v>-1108.231484154476</v>
      </c>
      <c r="O11" s="187">
        <f>-O4*Assumptions!O15</f>
        <v>-1263.3838919361024</v>
      </c>
    </row>
    <row r="12" spans="1:15" x14ac:dyDescent="0.3">
      <c r="A12" s="185" t="s">
        <v>109</v>
      </c>
      <c r="B12" s="185">
        <v>-60.39</v>
      </c>
      <c r="C12" s="185">
        <v>-111.49</v>
      </c>
      <c r="D12" s="185">
        <v>-158.6</v>
      </c>
      <c r="E12" s="185">
        <v>-218.34</v>
      </c>
      <c r="F12" s="191">
        <f>-F4*Assumptions!F16</f>
        <v>-282.30418800000001</v>
      </c>
      <c r="G12" s="191">
        <f>-G4*Assumptions!G16</f>
        <v>-338.67092420400019</v>
      </c>
      <c r="H12" s="191">
        <f>-H4*Assumptions!H16</f>
        <v>-397.7230789963503</v>
      </c>
      <c r="I12" s="191">
        <f>-I4*Assumptions!I16</f>
        <v>-467.01335628062708</v>
      </c>
      <c r="J12" s="191">
        <f>-J4*Assumptions!J16</f>
        <v>-538.71850434672353</v>
      </c>
      <c r="K12" s="191">
        <f>-K4*Assumptions!K16</f>
        <v>-621.485256378175</v>
      </c>
      <c r="L12" s="191">
        <f>-L4*Assumptions!L16</f>
        <v>-710.62235472352609</v>
      </c>
      <c r="M12" s="191">
        <f>-M4*Assumptions!M16</f>
        <v>-813.02571763297738</v>
      </c>
      <c r="N12" s="191">
        <f>-N4*Assumptions!N16</f>
        <v>-913.18274294328819</v>
      </c>
      <c r="O12" s="191">
        <f>-O4*Assumptions!O16</f>
        <v>-1041.0283269553483</v>
      </c>
    </row>
    <row r="13" spans="1:15" x14ac:dyDescent="0.3">
      <c r="A13" s="208"/>
      <c r="B13" s="208"/>
      <c r="C13" s="208"/>
      <c r="D13" s="208"/>
      <c r="E13" s="208"/>
      <c r="F13" s="209"/>
      <c r="G13" s="209"/>
      <c r="H13" s="209"/>
      <c r="I13" s="209"/>
      <c r="J13" s="209"/>
      <c r="K13" s="209"/>
      <c r="L13" s="209"/>
      <c r="M13" s="209"/>
      <c r="N13" s="209"/>
      <c r="O13" s="209"/>
    </row>
    <row r="14" spans="1:15" x14ac:dyDescent="0.3">
      <c r="A14" s="213" t="s">
        <v>110</v>
      </c>
      <c r="B14" s="213">
        <f t="shared" ref="B14:J14" si="10">B8+B11+B12</f>
        <v>69.990000000000023</v>
      </c>
      <c r="C14" s="213">
        <f t="shared" si="10"/>
        <v>186.63000000000005</v>
      </c>
      <c r="D14" s="213">
        <f t="shared" si="10"/>
        <v>272.73000000000013</v>
      </c>
      <c r="E14" s="213">
        <f t="shared" si="10"/>
        <v>348.45000000000016</v>
      </c>
      <c r="F14" s="214">
        <f t="shared" si="10"/>
        <v>411.69360750000016</v>
      </c>
      <c r="G14" s="214">
        <f t="shared" si="10"/>
        <v>528.09703435200026</v>
      </c>
      <c r="H14" s="214">
        <f t="shared" si="10"/>
        <v>674.40000351555068</v>
      </c>
      <c r="I14" s="214">
        <f t="shared" si="10"/>
        <v>834.83803512112058</v>
      </c>
      <c r="J14" s="214">
        <f t="shared" si="10"/>
        <v>1028.4625992073811</v>
      </c>
      <c r="K14" s="214">
        <f t="shared" ref="K14:O14" si="11">K8+K11+K12</f>
        <v>1231.4615265271241</v>
      </c>
      <c r="L14" s="214">
        <f t="shared" si="11"/>
        <v>1474.8765852752429</v>
      </c>
      <c r="M14" s="214">
        <f t="shared" si="11"/>
        <v>1726.7117622109904</v>
      </c>
      <c r="N14" s="214">
        <f t="shared" si="11"/>
        <v>2012.5483752245295</v>
      </c>
      <c r="O14" s="214">
        <f t="shared" si="11"/>
        <v>2294.3051477559629</v>
      </c>
    </row>
    <row r="15" spans="1:15" x14ac:dyDescent="0.3">
      <c r="A15" s="203" t="s">
        <v>111</v>
      </c>
      <c r="B15" s="204">
        <f t="shared" ref="B15:J15" si="12">IF(B4&gt;0,B14/B4,0)</f>
        <v>0.10199650247741186</v>
      </c>
      <c r="C15" s="204">
        <f t="shared" si="12"/>
        <v>0.15399912533315732</v>
      </c>
      <c r="D15" s="204">
        <f t="shared" si="12"/>
        <v>0.17742690971544564</v>
      </c>
      <c r="E15" s="204">
        <f t="shared" si="12"/>
        <v>0.18218369470310522</v>
      </c>
      <c r="F15" s="204">
        <f t="shared" si="12"/>
        <v>0.17500000000000004</v>
      </c>
      <c r="G15" s="204">
        <f t="shared" si="12"/>
        <v>0.184</v>
      </c>
      <c r="H15" s="204">
        <f t="shared" si="12"/>
        <v>0.19500000000000006</v>
      </c>
      <c r="I15" s="204">
        <f t="shared" si="12"/>
        <v>0.20199999999999993</v>
      </c>
      <c r="J15" s="204">
        <f t="shared" si="12"/>
        <v>0.20999999999999996</v>
      </c>
      <c r="K15" s="204">
        <f t="shared" ref="K15:O15" si="13">IF(K4&gt;0,K14/K4,0)</f>
        <v>0.21399999999999994</v>
      </c>
      <c r="L15" s="204">
        <f t="shared" si="13"/>
        <v>0.22</v>
      </c>
      <c r="M15" s="204">
        <f t="shared" si="13"/>
        <v>0.22300000000000003</v>
      </c>
      <c r="N15" s="204">
        <f t="shared" si="13"/>
        <v>0.22700000000000012</v>
      </c>
      <c r="O15" s="204">
        <f t="shared" si="13"/>
        <v>0.22700000000000009</v>
      </c>
    </row>
    <row r="16" spans="1:15" x14ac:dyDescent="0.3">
      <c r="A16" s="185"/>
      <c r="B16" s="185"/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185"/>
      <c r="N16" s="185"/>
      <c r="O16" s="185"/>
    </row>
    <row r="17" spans="1:15" x14ac:dyDescent="0.3">
      <c r="A17" s="208" t="s">
        <v>112</v>
      </c>
      <c r="B17" s="208">
        <v>-38.04</v>
      </c>
      <c r="C17" s="208">
        <v>-40.67</v>
      </c>
      <c r="D17" s="208">
        <v>-51.24</v>
      </c>
      <c r="E17" s="209">
        <v>-69.180000000000007</v>
      </c>
      <c r="F17" s="209">
        <f>-F4*Assumptions!F17</f>
        <v>-82.338721500000005</v>
      </c>
      <c r="G17" s="209">
        <f>-G4*Assumptions!G17</f>
        <v>-109.06351796400006</v>
      </c>
      <c r="H17" s="209">
        <f>-H4*Assumptions!H17</f>
        <v>-127.96307759013008</v>
      </c>
      <c r="I17" s="209">
        <f>-I4*Assumptions!I17</f>
        <v>-148.78301616019976</v>
      </c>
      <c r="J17" s="209">
        <f>-J4*Assumptions!J17</f>
        <v>-171.41043320123023</v>
      </c>
      <c r="K17" s="209">
        <f>-K4*Assumptions!K17</f>
        <v>-195.65276589683288</v>
      </c>
      <c r="L17" s="209">
        <f>-L4*Assumptions!L17</f>
        <v>-221.23148779128644</v>
      </c>
      <c r="M17" s="209">
        <f>-M4*Assumptions!M17</f>
        <v>-247.77926632624073</v>
      </c>
      <c r="N17" s="209">
        <f>-N4*Assumptions!N17</f>
        <v>-274.84140807031002</v>
      </c>
      <c r="O17" s="209">
        <f>-O4*Assumptions!O17</f>
        <v>-303.21213406466455</v>
      </c>
    </row>
    <row r="18" spans="1:15" x14ac:dyDescent="0.3">
      <c r="A18" s="210" t="s">
        <v>113</v>
      </c>
      <c r="B18" s="211">
        <f t="shared" ref="B18:J18" si="14">B14+B17</f>
        <v>31.950000000000024</v>
      </c>
      <c r="C18" s="211">
        <f t="shared" si="14"/>
        <v>145.96000000000004</v>
      </c>
      <c r="D18" s="211">
        <f t="shared" si="14"/>
        <v>221.49000000000012</v>
      </c>
      <c r="E18" s="212">
        <f t="shared" si="14"/>
        <v>279.27000000000015</v>
      </c>
      <c r="F18" s="212">
        <f t="shared" si="14"/>
        <v>329.35488600000014</v>
      </c>
      <c r="G18" s="212">
        <f t="shared" si="14"/>
        <v>419.03351638800018</v>
      </c>
      <c r="H18" s="212">
        <f t="shared" si="14"/>
        <v>546.43692592542061</v>
      </c>
      <c r="I18" s="212">
        <f t="shared" si="14"/>
        <v>686.05501896092085</v>
      </c>
      <c r="J18" s="212">
        <f t="shared" si="14"/>
        <v>857.05216600615086</v>
      </c>
      <c r="K18" s="212">
        <f t="shared" ref="K18:O18" si="15">K14+K17</f>
        <v>1035.8087606302911</v>
      </c>
      <c r="L18" s="212">
        <f t="shared" si="15"/>
        <v>1253.6450974839563</v>
      </c>
      <c r="M18" s="212">
        <f t="shared" si="15"/>
        <v>1478.9324958847496</v>
      </c>
      <c r="N18" s="212">
        <f t="shared" si="15"/>
        <v>1737.7069671542195</v>
      </c>
      <c r="O18" s="212">
        <f t="shared" si="15"/>
        <v>1991.0930136912984</v>
      </c>
    </row>
    <row r="19" spans="1:15" x14ac:dyDescent="0.3">
      <c r="A19" s="215"/>
      <c r="B19" s="215"/>
      <c r="C19" s="215"/>
      <c r="D19" s="215"/>
      <c r="E19" s="216"/>
      <c r="F19" s="216"/>
      <c r="G19" s="216"/>
      <c r="H19" s="216"/>
      <c r="I19" s="216"/>
      <c r="J19" s="216"/>
      <c r="K19" s="216"/>
      <c r="L19" s="216"/>
      <c r="M19" s="216"/>
      <c r="N19" s="216"/>
      <c r="O19" s="216"/>
    </row>
    <row r="20" spans="1:15" x14ac:dyDescent="0.3">
      <c r="A20" s="185" t="s">
        <v>114</v>
      </c>
      <c r="B20" s="185">
        <v>2.62</v>
      </c>
      <c r="C20" s="185">
        <v>4.63</v>
      </c>
      <c r="D20" s="185">
        <v>10.130000000000001</v>
      </c>
      <c r="E20" s="191">
        <v>22.6</v>
      </c>
      <c r="F20" s="194">
        <v>12</v>
      </c>
      <c r="G20" s="194">
        <v>14</v>
      </c>
      <c r="H20" s="194">
        <v>16</v>
      </c>
      <c r="I20" s="194">
        <v>18</v>
      </c>
      <c r="J20" s="194">
        <v>20</v>
      </c>
      <c r="K20" s="194">
        <v>22</v>
      </c>
      <c r="L20" s="194">
        <v>24</v>
      </c>
      <c r="M20" s="194">
        <v>26</v>
      </c>
      <c r="N20" s="194">
        <v>28</v>
      </c>
      <c r="O20" s="194">
        <v>30</v>
      </c>
    </row>
    <row r="21" spans="1:15" x14ac:dyDescent="0.3">
      <c r="A21" s="186" t="s">
        <v>115</v>
      </c>
      <c r="B21" s="186">
        <v>-10.3</v>
      </c>
      <c r="C21" s="186">
        <v>-11.88</v>
      </c>
      <c r="D21" s="186">
        <v>-17.12</v>
      </c>
      <c r="E21" s="187">
        <v>-15.04</v>
      </c>
      <c r="F21" s="195">
        <v>-10</v>
      </c>
      <c r="G21" s="195">
        <v>-10</v>
      </c>
      <c r="H21" s="195">
        <v>-8</v>
      </c>
      <c r="I21" s="195">
        <v>-7</v>
      </c>
      <c r="J21" s="195">
        <v>-6</v>
      </c>
      <c r="K21" s="195">
        <v>-5</v>
      </c>
      <c r="L21" s="195">
        <v>-4</v>
      </c>
      <c r="M21" s="195">
        <v>-4</v>
      </c>
      <c r="N21" s="195">
        <v>-3</v>
      </c>
      <c r="O21" s="195">
        <v>-3</v>
      </c>
    </row>
    <row r="22" spans="1:15" x14ac:dyDescent="0.3">
      <c r="A22" s="201"/>
      <c r="B22" s="201"/>
      <c r="C22" s="201"/>
      <c r="D22" s="201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</row>
    <row r="23" spans="1:15" x14ac:dyDescent="0.3">
      <c r="A23" s="220" t="s">
        <v>116</v>
      </c>
      <c r="B23" s="221">
        <f t="shared" ref="B23:J23" si="16">B18+B20+B21</f>
        <v>24.270000000000021</v>
      </c>
      <c r="C23" s="221">
        <f t="shared" si="16"/>
        <v>138.71000000000004</v>
      </c>
      <c r="D23" s="221">
        <f t="shared" si="16"/>
        <v>214.50000000000011</v>
      </c>
      <c r="E23" s="222">
        <f t="shared" si="16"/>
        <v>286.83000000000015</v>
      </c>
      <c r="F23" s="222">
        <f t="shared" si="16"/>
        <v>331.35488600000014</v>
      </c>
      <c r="G23" s="222">
        <f t="shared" si="16"/>
        <v>423.03351638800018</v>
      </c>
      <c r="H23" s="222">
        <f t="shared" si="16"/>
        <v>554.43692592542061</v>
      </c>
      <c r="I23" s="222">
        <f t="shared" si="16"/>
        <v>697.05501896092085</v>
      </c>
      <c r="J23" s="222">
        <f t="shared" si="16"/>
        <v>871.05216600615086</v>
      </c>
      <c r="K23" s="222">
        <f t="shared" ref="K23:O23" si="17">K18+K20+K21</f>
        <v>1052.8087606302911</v>
      </c>
      <c r="L23" s="222">
        <f t="shared" si="17"/>
        <v>1273.6450974839563</v>
      </c>
      <c r="M23" s="222">
        <f t="shared" si="17"/>
        <v>1500.9324958847496</v>
      </c>
      <c r="N23" s="222">
        <f t="shared" si="17"/>
        <v>1762.7069671542195</v>
      </c>
      <c r="O23" s="222">
        <f t="shared" si="17"/>
        <v>2018.0930136912984</v>
      </c>
    </row>
    <row r="24" spans="1:15" x14ac:dyDescent="0.3">
      <c r="A24" s="217" t="s">
        <v>117</v>
      </c>
      <c r="B24" s="218">
        <f>-ABS(B23)*Assumptions!B18</f>
        <v>-6.3102000000000054</v>
      </c>
      <c r="C24" s="218">
        <f>-ABS(C23)*Assumptions!C18</f>
        <v>-35.232340000000008</v>
      </c>
      <c r="D24" s="218">
        <f>-ABS(D23)*Assumptions!D18</f>
        <v>-54.826200000000028</v>
      </c>
      <c r="E24" s="219">
        <f>-ABS(E23)*Assumptions!E18</f>
        <v>-73.285065000000046</v>
      </c>
      <c r="F24" s="219">
        <f>-ABS(F23)*Assumptions!F18</f>
        <v>-84.495495930000033</v>
      </c>
      <c r="G24" s="219">
        <f>-ABS(G23)*Assumptions!G18</f>
        <v>-107.87354667894004</v>
      </c>
      <c r="H24" s="219">
        <f>-ABS(H23)*Assumptions!H18</f>
        <v>-141.38141611098226</v>
      </c>
      <c r="I24" s="219">
        <f>-ABS(I23)*Assumptions!I18</f>
        <v>-177.74902983503483</v>
      </c>
      <c r="J24" s="219">
        <f>-ABS(J23)*Assumptions!J18</f>
        <v>-222.11830233156846</v>
      </c>
      <c r="K24" s="219">
        <f>-ABS(K23)*Assumptions!K18</f>
        <v>-268.46623396072425</v>
      </c>
      <c r="L24" s="219">
        <f>-ABS(L23)*Assumptions!L18</f>
        <v>-324.77949985840888</v>
      </c>
      <c r="M24" s="219">
        <f>-ABS(M23)*Assumptions!M18</f>
        <v>-382.73778645061117</v>
      </c>
      <c r="N24" s="219">
        <f>-ABS(N23)*Assumptions!N18</f>
        <v>-449.49027662432599</v>
      </c>
      <c r="O24" s="219">
        <f>-ABS(O23)*Assumptions!O18</f>
        <v>-514.61371849128113</v>
      </c>
    </row>
    <row r="25" spans="1:15" x14ac:dyDescent="0.3">
      <c r="A25" s="208"/>
      <c r="B25" s="208"/>
      <c r="C25" s="208"/>
      <c r="D25" s="208"/>
      <c r="E25" s="209"/>
      <c r="F25" s="209"/>
      <c r="G25" s="209"/>
      <c r="H25" s="209"/>
      <c r="I25" s="209"/>
      <c r="J25" s="209"/>
      <c r="K25" s="209"/>
      <c r="L25" s="209"/>
      <c r="M25" s="209"/>
      <c r="N25" s="209"/>
      <c r="O25" s="209"/>
    </row>
    <row r="26" spans="1:15" x14ac:dyDescent="0.3">
      <c r="A26" s="213" t="s">
        <v>118</v>
      </c>
      <c r="B26" s="224">
        <f t="shared" ref="B26:J26" si="18">B23+B24</f>
        <v>17.959800000000016</v>
      </c>
      <c r="C26" s="224">
        <f t="shared" si="18"/>
        <v>103.47766000000003</v>
      </c>
      <c r="D26" s="224">
        <f t="shared" si="18"/>
        <v>159.67380000000009</v>
      </c>
      <c r="E26" s="214">
        <f t="shared" si="18"/>
        <v>213.54493500000012</v>
      </c>
      <c r="F26" s="214">
        <f t="shared" si="18"/>
        <v>246.8593900700001</v>
      </c>
      <c r="G26" s="214">
        <f t="shared" si="18"/>
        <v>315.15996970906014</v>
      </c>
      <c r="H26" s="214">
        <f t="shared" si="18"/>
        <v>413.05550981443832</v>
      </c>
      <c r="I26" s="214">
        <f t="shared" si="18"/>
        <v>519.30598912588607</v>
      </c>
      <c r="J26" s="214">
        <f t="shared" si="18"/>
        <v>648.93386367458243</v>
      </c>
      <c r="K26" s="214">
        <f t="shared" ref="K26:O26" si="19">K23+K24</f>
        <v>784.34252666956684</v>
      </c>
      <c r="L26" s="214">
        <f t="shared" si="19"/>
        <v>948.86559762554748</v>
      </c>
      <c r="M26" s="214">
        <f t="shared" si="19"/>
        <v>1118.1947094341385</v>
      </c>
      <c r="N26" s="214">
        <f t="shared" si="19"/>
        <v>1313.2166905298934</v>
      </c>
      <c r="O26" s="214">
        <f t="shared" si="19"/>
        <v>1503.4792952000173</v>
      </c>
    </row>
    <row r="27" spans="1:15" x14ac:dyDescent="0.3">
      <c r="A27" s="203" t="s">
        <v>119</v>
      </c>
      <c r="B27" s="223">
        <f t="shared" ref="B27:J27" si="20">IF(B4&gt;0,B26/B4,0)</f>
        <v>2.6172835907898592E-2</v>
      </c>
      <c r="C27" s="223">
        <f t="shared" si="20"/>
        <v>8.5385356756801381E-2</v>
      </c>
      <c r="D27" s="223">
        <f t="shared" si="20"/>
        <v>0.10387720051524264</v>
      </c>
      <c r="E27" s="223">
        <f t="shared" si="20"/>
        <v>0.1116498930791633</v>
      </c>
      <c r="F27" s="223">
        <f t="shared" si="20"/>
        <v>0.10493335936057743</v>
      </c>
      <c r="G27" s="223">
        <f t="shared" si="20"/>
        <v>0.10980829403373342</v>
      </c>
      <c r="H27" s="223">
        <f t="shared" si="20"/>
        <v>0.1194333095995576</v>
      </c>
      <c r="I27" s="223">
        <f t="shared" si="20"/>
        <v>0.12565288761455362</v>
      </c>
      <c r="J27" s="223">
        <f t="shared" si="20"/>
        <v>0.13250468366733803</v>
      </c>
      <c r="K27" s="223">
        <f t="shared" ref="K27:O27" si="21">IF(K4&gt;0,K26/K4,0)</f>
        <v>0.13630088889633712</v>
      </c>
      <c r="L27" s="223">
        <f t="shared" si="21"/>
        <v>0.14153755884507668</v>
      </c>
      <c r="M27" s="223">
        <f t="shared" si="21"/>
        <v>0.14441172270959687</v>
      </c>
      <c r="N27" s="223">
        <f t="shared" si="21"/>
        <v>0.14812075695672583</v>
      </c>
      <c r="O27" s="223">
        <f t="shared" si="21"/>
        <v>0.14875519080110866</v>
      </c>
    </row>
    <row r="28" spans="1:15" x14ac:dyDescent="0.3">
      <c r="A28" s="185"/>
      <c r="B28" s="185"/>
      <c r="C28" s="185"/>
      <c r="D28" s="185"/>
      <c r="E28" s="185"/>
      <c r="F28" s="185"/>
      <c r="G28" s="185"/>
      <c r="H28" s="185"/>
      <c r="I28" s="185"/>
      <c r="J28" s="185"/>
      <c r="K28" s="185"/>
      <c r="L28" s="185"/>
      <c r="M28" s="185"/>
      <c r="N28" s="185"/>
      <c r="O28" s="185"/>
    </row>
    <row r="29" spans="1:15" x14ac:dyDescent="0.3">
      <c r="A29" s="196" t="s">
        <v>120</v>
      </c>
      <c r="B29" s="198">
        <f>B26/Assumptions!B90</f>
        <v>2.9592684132476545</v>
      </c>
      <c r="C29" s="198">
        <f>C26/Assumptions!B90</f>
        <v>17.050199373867198</v>
      </c>
      <c r="D29" s="198">
        <f>D26/Assumptions!B90</f>
        <v>26.309738012852215</v>
      </c>
      <c r="E29" s="198">
        <f>E26/Assumptions!B90</f>
        <v>35.186181413741991</v>
      </c>
      <c r="F29" s="198">
        <f>F26/Assumptions!B90</f>
        <v>40.6754638441259</v>
      </c>
      <c r="G29" s="198">
        <f>G26/Assumptions!B90</f>
        <v>51.929472682329894</v>
      </c>
      <c r="H29" s="198">
        <f>H26/Assumptions!B90</f>
        <v>68.059896163196299</v>
      </c>
      <c r="I29" s="198">
        <f>I26/Assumptions!B90</f>
        <v>85.566977941322477</v>
      </c>
      <c r="J29" s="198">
        <f>J26/Assumptions!B90</f>
        <v>106.92599500322663</v>
      </c>
      <c r="K29" s="198">
        <f>K26/Assumptions!$B$90</f>
        <v>129.23752293121879</v>
      </c>
      <c r="L29" s="198">
        <f>L26/Assumptions!$B$90</f>
        <v>156.34628400486858</v>
      </c>
      <c r="M29" s="198">
        <f>M26/Assumptions!$B$90</f>
        <v>184.24694503775558</v>
      </c>
      <c r="N29" s="198">
        <f>N26/Assumptions!$B$90</f>
        <v>216.38106616079972</v>
      </c>
      <c r="O29" s="198">
        <f>O26/Assumptions!$B$90</f>
        <v>247.7309763058193</v>
      </c>
    </row>
    <row r="30" spans="1:15" x14ac:dyDescent="0.3">
      <c r="A30" s="201" t="s">
        <v>121</v>
      </c>
      <c r="B30" s="202">
        <f>B29*Assumptions!B91</f>
        <v>0.2781712308452795</v>
      </c>
      <c r="C30" s="202">
        <f>C29*Assumptions!B91</f>
        <v>1.6027187411435166</v>
      </c>
      <c r="D30" s="202">
        <f>D29*Assumptions!B91</f>
        <v>2.4731153732081084</v>
      </c>
      <c r="E30" s="202">
        <f>E29*Assumptions!B91</f>
        <v>3.3075010528917472</v>
      </c>
      <c r="F30" s="202">
        <f>F29*Assumptions!B91</f>
        <v>3.8234936013478347</v>
      </c>
      <c r="G30" s="202">
        <f>G29*Assumptions!B91</f>
        <v>4.8813704321390103</v>
      </c>
      <c r="H30" s="202">
        <f>H29*Assumptions!B91</f>
        <v>6.3976302393404518</v>
      </c>
      <c r="I30" s="202">
        <f>I29*Assumptions!B91</f>
        <v>8.043295926484312</v>
      </c>
      <c r="J30" s="202">
        <f>J29*Assumptions!B91</f>
        <v>10.051043530303303</v>
      </c>
      <c r="K30" s="202">
        <f>K29*Assumptions!$B$91</f>
        <v>12.148327155534567</v>
      </c>
      <c r="L30" s="202">
        <f>L29*Assumptions!$B$91</f>
        <v>14.696550696457647</v>
      </c>
      <c r="M30" s="202">
        <f>M29*Assumptions!$B$91</f>
        <v>17.319212833549024</v>
      </c>
      <c r="N30" s="202">
        <f>N29*Assumptions!$B$91</f>
        <v>20.339820219115175</v>
      </c>
      <c r="O30" s="202">
        <f>O29*Assumptions!$B$91</f>
        <v>23.286711772747015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10BF1-3F41-4E04-943A-5D9135B3AFB4}">
  <sheetPr>
    <tabColor rgb="FF1B3A5C"/>
  </sheetPr>
  <dimension ref="A1:O44"/>
  <sheetViews>
    <sheetView showGridLines="0" topLeftCell="A14" workbookViewId="0">
      <pane xSplit="1" topLeftCell="B1" activePane="topRight" state="frozen"/>
      <selection pane="topRight" activeCell="H13" sqref="H13"/>
    </sheetView>
  </sheetViews>
  <sheetFormatPr defaultRowHeight="14.4" x14ac:dyDescent="0.3"/>
  <cols>
    <col min="1" max="1" width="46.33203125" customWidth="1"/>
    <col min="2" max="10" width="17.5546875" customWidth="1"/>
    <col min="11" max="11" width="17.109375" customWidth="1"/>
    <col min="12" max="12" width="17" customWidth="1"/>
    <col min="13" max="14" width="17.109375" customWidth="1"/>
    <col min="15" max="15" width="17.21875" customWidth="1"/>
  </cols>
  <sheetData>
    <row r="1" spans="1:15" ht="28.05" customHeight="1" x14ac:dyDescent="0.35">
      <c r="A1" s="176" t="s">
        <v>122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</row>
    <row r="2" spans="1:15" x14ac:dyDescent="0.3">
      <c r="A2" s="38" t="s">
        <v>102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</row>
    <row r="3" spans="1:15" x14ac:dyDescent="0.3">
      <c r="A3" s="37"/>
      <c r="B3" s="178" t="s">
        <v>45</v>
      </c>
      <c r="C3" s="178" t="s">
        <v>46</v>
      </c>
      <c r="D3" s="178" t="s">
        <v>47</v>
      </c>
      <c r="E3" s="178" t="s">
        <v>48</v>
      </c>
      <c r="F3" s="178" t="s">
        <v>49</v>
      </c>
      <c r="G3" s="178" t="s">
        <v>50</v>
      </c>
      <c r="H3" s="178" t="s">
        <v>51</v>
      </c>
      <c r="I3" s="178" t="s">
        <v>52</v>
      </c>
      <c r="J3" s="178" t="s">
        <v>53</v>
      </c>
      <c r="K3" s="178" t="s">
        <v>486</v>
      </c>
      <c r="L3" s="178" t="s">
        <v>487</v>
      </c>
      <c r="M3" s="178" t="s">
        <v>488</v>
      </c>
      <c r="N3" s="178" t="s">
        <v>489</v>
      </c>
      <c r="O3" s="178" t="s">
        <v>490</v>
      </c>
    </row>
    <row r="4" spans="1:15" ht="22.05" customHeight="1" x14ac:dyDescent="0.3">
      <c r="A4" s="229" t="s">
        <v>123</v>
      </c>
      <c r="B4" s="229"/>
      <c r="C4" s="229"/>
      <c r="D4" s="229"/>
      <c r="E4" s="229"/>
      <c r="F4" s="229"/>
      <c r="G4" s="229"/>
      <c r="H4" s="229"/>
      <c r="I4" s="229"/>
      <c r="J4" s="229"/>
      <c r="K4" s="229"/>
      <c r="L4" s="229"/>
      <c r="M4" s="229"/>
      <c r="N4" s="229"/>
      <c r="O4" s="229"/>
    </row>
    <row r="5" spans="1:15" x14ac:dyDescent="0.3">
      <c r="A5" s="188" t="s">
        <v>124</v>
      </c>
      <c r="B5" s="189"/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</row>
    <row r="6" spans="1:15" x14ac:dyDescent="0.3">
      <c r="A6" s="185" t="s">
        <v>125</v>
      </c>
      <c r="B6" s="185">
        <v>200</v>
      </c>
      <c r="C6" s="185">
        <v>230</v>
      </c>
      <c r="D6" s="185">
        <v>461.13</v>
      </c>
      <c r="E6" s="185">
        <v>635.19000000000005</v>
      </c>
      <c r="F6" s="191">
        <f>E6+Assumptions!F26+'Income Statement'!F17</f>
        <v>802.85127850000003</v>
      </c>
      <c r="G6" s="191">
        <f>F6+Assumptions!G26+'Income Statement'!G17</f>
        <v>933.78776053599995</v>
      </c>
      <c r="H6" s="191">
        <f>G6+Assumptions!H26+'Income Statement'!H17</f>
        <v>955.82468294586988</v>
      </c>
      <c r="I6" s="191">
        <f>H6+Assumptions!I26+'Income Statement'!I17</f>
        <v>937.04166678567015</v>
      </c>
      <c r="J6" s="191">
        <f>I6+Assumptions!J26+'Income Statement'!J17</f>
        <v>865.63123358444</v>
      </c>
      <c r="K6" s="191">
        <f>J6+Assumptions!K26+'Income Statement'!K17</f>
        <v>769.97846768760712</v>
      </c>
      <c r="L6" s="191">
        <f>K6+Assumptions!L26+'Income Statement'!L17</f>
        <v>638.74697989632068</v>
      </c>
      <c r="M6" s="191">
        <f>L6+Assumptions!M26+'Income Statement'!M17</f>
        <v>480.96771357007992</v>
      </c>
      <c r="N6" s="191">
        <f>M6+Assumptions!N26+'Income Statement'!N17</f>
        <v>296.1263054997699</v>
      </c>
      <c r="O6" s="191">
        <f>N6+Assumptions!O26+'Income Statement'!O17</f>
        <v>82.914171435105345</v>
      </c>
    </row>
    <row r="7" spans="1:15" x14ac:dyDescent="0.3">
      <c r="A7" s="186" t="s">
        <v>126</v>
      </c>
      <c r="B7" s="186">
        <v>5</v>
      </c>
      <c r="C7" s="186">
        <v>5</v>
      </c>
      <c r="D7" s="186">
        <v>62.44</v>
      </c>
      <c r="E7" s="186">
        <v>115.5</v>
      </c>
      <c r="F7" s="195">
        <v>57</v>
      </c>
      <c r="G7" s="195">
        <v>54</v>
      </c>
      <c r="H7" s="195">
        <v>51</v>
      </c>
      <c r="I7" s="195">
        <v>48</v>
      </c>
      <c r="J7" s="195">
        <v>45</v>
      </c>
      <c r="K7" s="195">
        <v>42</v>
      </c>
      <c r="L7" s="195">
        <v>39</v>
      </c>
      <c r="M7" s="195">
        <v>36</v>
      </c>
      <c r="N7" s="195">
        <v>33</v>
      </c>
      <c r="O7" s="195">
        <v>30</v>
      </c>
    </row>
    <row r="8" spans="1:15" x14ac:dyDescent="0.3">
      <c r="A8" s="185" t="s">
        <v>127</v>
      </c>
      <c r="B8" s="185">
        <v>20</v>
      </c>
      <c r="C8" s="185">
        <v>25</v>
      </c>
      <c r="D8" s="185">
        <v>49.93</v>
      </c>
      <c r="E8" s="185">
        <v>80.099999999999994</v>
      </c>
      <c r="F8" s="194">
        <v>48</v>
      </c>
      <c r="G8" s="194">
        <v>50</v>
      </c>
      <c r="H8" s="194">
        <v>53</v>
      </c>
      <c r="I8" s="194">
        <v>55</v>
      </c>
      <c r="J8" s="194">
        <v>58</v>
      </c>
      <c r="K8" s="194">
        <v>61</v>
      </c>
      <c r="L8" s="194">
        <v>64</v>
      </c>
      <c r="M8" s="194">
        <v>67</v>
      </c>
      <c r="N8" s="194">
        <v>70</v>
      </c>
      <c r="O8" s="194">
        <v>73</v>
      </c>
    </row>
    <row r="9" spans="1:15" x14ac:dyDescent="0.3">
      <c r="A9" s="192" t="s">
        <v>128</v>
      </c>
      <c r="B9" s="192">
        <f t="shared" ref="B9:J9" si="0">SUM(B6:B8)</f>
        <v>225</v>
      </c>
      <c r="C9" s="192">
        <f t="shared" si="0"/>
        <v>260</v>
      </c>
      <c r="D9" s="192">
        <f t="shared" si="0"/>
        <v>573.49999999999989</v>
      </c>
      <c r="E9" s="192">
        <f t="shared" si="0"/>
        <v>830.79000000000008</v>
      </c>
      <c r="F9" s="193">
        <f t="shared" si="0"/>
        <v>907.85127850000003</v>
      </c>
      <c r="G9" s="193">
        <f t="shared" si="0"/>
        <v>1037.787760536</v>
      </c>
      <c r="H9" s="193">
        <f t="shared" si="0"/>
        <v>1059.8246829458699</v>
      </c>
      <c r="I9" s="193">
        <f t="shared" si="0"/>
        <v>1040.0416667856703</v>
      </c>
      <c r="J9" s="193">
        <f t="shared" si="0"/>
        <v>968.63123358444</v>
      </c>
      <c r="K9" s="193">
        <f t="shared" ref="K9:O9" si="1">SUM(K6:K8)</f>
        <v>872.97846768760712</v>
      </c>
      <c r="L9" s="193">
        <f t="shared" si="1"/>
        <v>741.74697989632068</v>
      </c>
      <c r="M9" s="193">
        <f t="shared" si="1"/>
        <v>583.96771357007992</v>
      </c>
      <c r="N9" s="193">
        <f t="shared" si="1"/>
        <v>399.1263054997699</v>
      </c>
      <c r="O9" s="193">
        <f t="shared" si="1"/>
        <v>185.91417143510535</v>
      </c>
    </row>
    <row r="10" spans="1:15" x14ac:dyDescent="0.3">
      <c r="A10" s="185"/>
      <c r="B10" s="185"/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</row>
    <row r="11" spans="1:15" x14ac:dyDescent="0.3">
      <c r="A11" s="188" t="s">
        <v>129</v>
      </c>
      <c r="B11" s="189"/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</row>
    <row r="12" spans="1:15" x14ac:dyDescent="0.3">
      <c r="A12" s="185" t="s">
        <v>130</v>
      </c>
      <c r="B12" s="185">
        <v>168</v>
      </c>
      <c r="C12" s="185">
        <v>282</v>
      </c>
      <c r="D12" s="185">
        <v>225.1</v>
      </c>
      <c r="E12" s="185">
        <v>294.04000000000002</v>
      </c>
      <c r="F12" s="191">
        <f>'Income Statement'!F4*Assumptions!F22/365</f>
        <v>360.93686136986304</v>
      </c>
      <c r="G12" s="191">
        <f>'Income Statement'!G4*Assumptions!G22/365</f>
        <v>440.34297087123309</v>
      </c>
      <c r="H12" s="191">
        <f>'Income Statement'!H4*Assumptions!H22/365</f>
        <v>521.13804275876748</v>
      </c>
      <c r="I12" s="191">
        <f>'Income Statement'!I4*Assumptions!I22/365</f>
        <v>611.43705271314968</v>
      </c>
      <c r="J12" s="191">
        <f>'Income Statement'!J4*Assumptions!J22/365</f>
        <v>711.13526103054426</v>
      </c>
      <c r="K12" s="191">
        <f>'Income Statement'!K4*Assumptions!K22/365</f>
        <v>819.8181971503069</v>
      </c>
      <c r="L12" s="191">
        <f>'Income Statement'!L4*Assumptions!L22/365</f>
        <v>936.72111891702855</v>
      </c>
      <c r="M12" s="191">
        <f>'Income Statement'!M4*Assumptions!M22/365</f>
        <v>1060.6989140678115</v>
      </c>
      <c r="N12" s="191">
        <f>'Income Statement'!N4*Assumptions!N22/365</f>
        <v>1190.210251475492</v>
      </c>
      <c r="O12" s="191">
        <f>'Income Statement'!O4*Assumptions!O22/365</f>
        <v>1329.1490808314063</v>
      </c>
    </row>
    <row r="13" spans="1:15" x14ac:dyDescent="0.3">
      <c r="A13" s="197" t="s">
        <v>131</v>
      </c>
      <c r="B13" s="186">
        <v>84</v>
      </c>
      <c r="C13" s="186">
        <v>139</v>
      </c>
      <c r="D13" s="186">
        <v>64.650000000000006</v>
      </c>
      <c r="E13" s="186">
        <v>134.32</v>
      </c>
      <c r="F13" s="187">
        <f>'Income Statement'!F4*Assumptions!F21/365</f>
        <v>180.46843068493152</v>
      </c>
      <c r="G13" s="187">
        <f>'Income Statement'!G4*Assumptions!G21/365</f>
        <v>235.89802010958917</v>
      </c>
      <c r="H13" s="187">
        <f>'Income Statement'!H4*Assumptions!H21/365</f>
        <v>284.25711423205496</v>
      </c>
      <c r="I13" s="187">
        <f>'Income Statement'!I4*Assumptions!I21/365</f>
        <v>339.6872515073054</v>
      </c>
      <c r="J13" s="187">
        <f>'Income Statement'!J4*Assumptions!J21/365</f>
        <v>402.52939303615705</v>
      </c>
      <c r="K13" s="187">
        <f>'Income Statement'!K4*Assumptions!K21/365</f>
        <v>472.97203681748471</v>
      </c>
      <c r="L13" s="187">
        <f>'Income Statement'!L4*Assumptions!L21/365</f>
        <v>551.01242289236961</v>
      </c>
      <c r="M13" s="187">
        <f>'Income Statement'!M4*Assumptions!M21/365</f>
        <v>636.4193484406868</v>
      </c>
      <c r="N13" s="187">
        <f>'Income Statement'!N4*Assumptions!N21/365</f>
        <v>728.700153964587</v>
      </c>
      <c r="O13" s="187">
        <f>'Income Statement'!O4*Assumptions!O21/365</f>
        <v>830.71817551962909</v>
      </c>
    </row>
    <row r="14" spans="1:15" x14ac:dyDescent="0.3">
      <c r="A14" s="185" t="s">
        <v>132</v>
      </c>
      <c r="B14" s="185">
        <v>15</v>
      </c>
      <c r="C14" s="185">
        <v>36</v>
      </c>
      <c r="D14" s="185">
        <v>305.89999999999998</v>
      </c>
      <c r="E14" s="185">
        <v>225.37</v>
      </c>
      <c r="F14" s="194">
        <f>MAX(0, F24+F29+F32+F34+'Debt Schedule'!F19 - F9-F12-F13-F15)</f>
        <v>187.78865137739251</v>
      </c>
      <c r="G14" s="194">
        <f>MAX(0, G24+G29+G32+G34+'Debt Schedule'!G19 - G9-G12-G13-G15)</f>
        <v>226.30797679149941</v>
      </c>
      <c r="H14" s="194">
        <f>MAX(0, H24+H29+H32+H34+'Debt Schedule'!H19 - H9-H12-H13-H15)</f>
        <v>475.07576967332375</v>
      </c>
      <c r="I14" s="194">
        <f>MAX(0, I24+I29+I32+I34+'Debt Schedule'!I19 - I9-I12-I13-I15)</f>
        <v>854.76388581395133</v>
      </c>
      <c r="J14" s="194">
        <f>MAX(0, J24+J29+J32+J34+'Debt Schedule'!J19 - J9-J12-J13-J15)</f>
        <v>1397.0237056316184</v>
      </c>
      <c r="K14" s="194">
        <f>MAX(0, K24+K29+K32+K34+'Debt Schedule'!K19 - K9-K12-K13-K15)</f>
        <v>2089.9141583955493</v>
      </c>
      <c r="L14" s="194">
        <f>MAX(0, L24+L29+L32+L34+'Debt Schedule'!L19 - L9-L12-L13-L15)</f>
        <v>2962.9171903029537</v>
      </c>
      <c r="M14" s="194">
        <f>MAX(0, M24+M29+M32+M34+'Debt Schedule'!M19 - M9-M12-M13-M15)</f>
        <v>4019.5485280039557</v>
      </c>
      <c r="N14" s="194">
        <f>MAX(0, N24+N29+N32+N34+'Debt Schedule'!N19 - N9-N12-N13-N15)</f>
        <v>5278.8165675671307</v>
      </c>
      <c r="O14" s="194">
        <f>MAX(0, O24+O29+O32+O34+'Debt Schedule'!O19 - O9-O12-O13-O15)</f>
        <v>6723.3951515061581</v>
      </c>
    </row>
    <row r="15" spans="1:15" x14ac:dyDescent="0.3">
      <c r="A15" s="197" t="s">
        <v>133</v>
      </c>
      <c r="B15" s="186">
        <v>30</v>
      </c>
      <c r="C15" s="186">
        <v>40</v>
      </c>
      <c r="D15" s="186">
        <v>20.84</v>
      </c>
      <c r="E15" s="186">
        <v>35.1</v>
      </c>
      <c r="F15" s="195">
        <v>75</v>
      </c>
      <c r="G15" s="195">
        <v>80</v>
      </c>
      <c r="H15" s="195">
        <v>85</v>
      </c>
      <c r="I15" s="195">
        <v>90</v>
      </c>
      <c r="J15" s="195">
        <v>95</v>
      </c>
      <c r="K15" s="195">
        <v>100</v>
      </c>
      <c r="L15" s="195">
        <v>105</v>
      </c>
      <c r="M15" s="195">
        <v>110</v>
      </c>
      <c r="N15" s="195">
        <v>115</v>
      </c>
      <c r="O15" s="195">
        <v>120</v>
      </c>
    </row>
    <row r="16" spans="1:15" x14ac:dyDescent="0.3">
      <c r="A16" s="192" t="s">
        <v>134</v>
      </c>
      <c r="B16" s="192">
        <f t="shared" ref="B16:J16" si="2">SUM(B12:B15)</f>
        <v>297</v>
      </c>
      <c r="C16" s="192">
        <f t="shared" si="2"/>
        <v>497</v>
      </c>
      <c r="D16" s="192">
        <f t="shared" si="2"/>
        <v>616.49</v>
      </c>
      <c r="E16" s="192">
        <f t="shared" si="2"/>
        <v>688.83</v>
      </c>
      <c r="F16" s="193">
        <f t="shared" si="2"/>
        <v>804.1939434321871</v>
      </c>
      <c r="G16" s="193">
        <f t="shared" si="2"/>
        <v>982.5489677723217</v>
      </c>
      <c r="H16" s="193">
        <f t="shared" si="2"/>
        <v>1365.4709266641462</v>
      </c>
      <c r="I16" s="193">
        <f t="shared" si="2"/>
        <v>1895.8881900344063</v>
      </c>
      <c r="J16" s="193">
        <f t="shared" si="2"/>
        <v>2605.6883596983198</v>
      </c>
      <c r="K16" s="193">
        <f t="shared" ref="K16:O16" si="3">SUM(K12:K15)</f>
        <v>3482.704392363341</v>
      </c>
      <c r="L16" s="193">
        <f t="shared" si="3"/>
        <v>4555.6507321123518</v>
      </c>
      <c r="M16" s="193">
        <f t="shared" si="3"/>
        <v>5826.6667905124541</v>
      </c>
      <c r="N16" s="193">
        <f t="shared" si="3"/>
        <v>7312.7269730072094</v>
      </c>
      <c r="O16" s="193">
        <f t="shared" si="3"/>
        <v>9003.2624078571935</v>
      </c>
    </row>
    <row r="17" spans="1:15" x14ac:dyDescent="0.3">
      <c r="A17" s="186"/>
      <c r="B17" s="186"/>
      <c r="C17" s="186"/>
      <c r="D17" s="186"/>
      <c r="E17" s="186"/>
      <c r="F17" s="187"/>
      <c r="G17" s="187"/>
      <c r="H17" s="187"/>
      <c r="I17" s="187"/>
      <c r="J17" s="187"/>
      <c r="K17" s="187"/>
      <c r="L17" s="187"/>
      <c r="M17" s="187"/>
      <c r="N17" s="187"/>
      <c r="O17" s="187"/>
    </row>
    <row r="18" spans="1:15" x14ac:dyDescent="0.3">
      <c r="A18" s="192" t="s">
        <v>135</v>
      </c>
      <c r="B18" s="192">
        <f t="shared" ref="B18:J18" si="4">B9+B16</f>
        <v>522</v>
      </c>
      <c r="C18" s="192">
        <f t="shared" si="4"/>
        <v>757</v>
      </c>
      <c r="D18" s="192">
        <f t="shared" si="4"/>
        <v>1189.9899999999998</v>
      </c>
      <c r="E18" s="192">
        <f t="shared" si="4"/>
        <v>1519.6200000000001</v>
      </c>
      <c r="F18" s="193">
        <f t="shared" si="4"/>
        <v>1712.0452219321871</v>
      </c>
      <c r="G18" s="193">
        <f t="shared" si="4"/>
        <v>2020.3367283083217</v>
      </c>
      <c r="H18" s="193">
        <f t="shared" si="4"/>
        <v>2425.2956096100161</v>
      </c>
      <c r="I18" s="193">
        <f t="shared" si="4"/>
        <v>2935.9298568200766</v>
      </c>
      <c r="J18" s="193">
        <f t="shared" si="4"/>
        <v>3574.3195932827598</v>
      </c>
      <c r="K18" s="193">
        <f t="shared" ref="K18:O18" si="5">K9+K16</f>
        <v>4355.682860050948</v>
      </c>
      <c r="L18" s="193">
        <f t="shared" si="5"/>
        <v>5297.3977120086729</v>
      </c>
      <c r="M18" s="193">
        <f t="shared" si="5"/>
        <v>6410.6345040825345</v>
      </c>
      <c r="N18" s="193">
        <f t="shared" si="5"/>
        <v>7711.8532785069792</v>
      </c>
      <c r="O18" s="193">
        <f t="shared" si="5"/>
        <v>9189.1765792922997</v>
      </c>
    </row>
    <row r="19" spans="1:15" x14ac:dyDescent="0.3">
      <c r="A19" s="186"/>
      <c r="B19" s="186"/>
      <c r="C19" s="186"/>
      <c r="D19" s="186"/>
      <c r="E19" s="186"/>
      <c r="F19" s="187"/>
      <c r="G19" s="187"/>
      <c r="H19" s="187"/>
      <c r="I19" s="187"/>
      <c r="J19" s="187"/>
      <c r="K19" s="187"/>
      <c r="L19" s="187"/>
      <c r="M19" s="187"/>
      <c r="N19" s="187"/>
      <c r="O19" s="187"/>
    </row>
    <row r="20" spans="1:15" ht="22.05" customHeight="1" x14ac:dyDescent="0.3">
      <c r="A20" s="230" t="s">
        <v>136</v>
      </c>
      <c r="B20" s="230"/>
      <c r="C20" s="230"/>
      <c r="D20" s="230"/>
      <c r="E20" s="230"/>
      <c r="F20" s="231"/>
      <c r="G20" s="231"/>
      <c r="H20" s="231"/>
      <c r="I20" s="231"/>
      <c r="J20" s="231"/>
      <c r="K20" s="231"/>
      <c r="L20" s="231"/>
      <c r="M20" s="231"/>
      <c r="N20" s="231"/>
      <c r="O20" s="231"/>
    </row>
    <row r="21" spans="1:15" x14ac:dyDescent="0.3">
      <c r="A21" s="188" t="s">
        <v>137</v>
      </c>
      <c r="B21" s="189"/>
      <c r="C21" s="189"/>
      <c r="D21" s="189"/>
      <c r="E21" s="189"/>
      <c r="F21" s="190"/>
      <c r="G21" s="190"/>
      <c r="H21" s="190"/>
      <c r="I21" s="190"/>
      <c r="J21" s="190"/>
      <c r="K21" s="190"/>
      <c r="L21" s="190"/>
      <c r="M21" s="190"/>
      <c r="N21" s="190"/>
      <c r="O21" s="190"/>
    </row>
    <row r="22" spans="1:15" x14ac:dyDescent="0.3">
      <c r="A22" s="185" t="s">
        <v>138</v>
      </c>
      <c r="B22" s="185">
        <v>46</v>
      </c>
      <c r="C22" s="185">
        <v>46</v>
      </c>
      <c r="D22" s="185">
        <v>60.69</v>
      </c>
      <c r="E22" s="185">
        <v>60.69</v>
      </c>
      <c r="F22" s="191">
        <v>61</v>
      </c>
      <c r="G22" s="191">
        <v>61</v>
      </c>
      <c r="H22" s="191">
        <v>61</v>
      </c>
      <c r="I22" s="191">
        <v>61</v>
      </c>
      <c r="J22" s="191">
        <v>61</v>
      </c>
      <c r="K22" s="194">
        <v>61</v>
      </c>
      <c r="L22" s="194">
        <v>61</v>
      </c>
      <c r="M22" s="194">
        <v>61</v>
      </c>
      <c r="N22" s="194">
        <v>61</v>
      </c>
      <c r="O22" s="194">
        <v>61</v>
      </c>
    </row>
    <row r="23" spans="1:15" x14ac:dyDescent="0.3">
      <c r="A23" s="186" t="s">
        <v>139</v>
      </c>
      <c r="B23" s="186">
        <v>292.10000000000002</v>
      </c>
      <c r="C23" s="186">
        <v>443.8</v>
      </c>
      <c r="D23" s="186">
        <v>781.54</v>
      </c>
      <c r="E23" s="186">
        <v>1021.81</v>
      </c>
      <c r="F23" s="187">
        <f>E23+'Income Statement'!F26-'Income Statement'!F30*Assumptions!B90</f>
        <v>1245.4646074034199</v>
      </c>
      <c r="G23" s="187">
        <f>F23+'Income Statement'!G26-'Income Statement'!G30*Assumptions!B90</f>
        <v>1530.9995399598283</v>
      </c>
      <c r="H23" s="187">
        <f>G23+'Income Statement'!H26-'Income Statement'!H30*Assumptions!B90</f>
        <v>1905.2278318517094</v>
      </c>
      <c r="I23" s="187">
        <f>H23+'Income Statement'!I26-'Income Statement'!I30*Assumptions!B90</f>
        <v>2375.7190579997623</v>
      </c>
      <c r="J23" s="187">
        <f>I23+'Income Statement'!J26-'Income Statement'!J30*Assumptions!B90</f>
        <v>2963.653138488934</v>
      </c>
      <c r="K23" s="187">
        <f>J23+'Income Statement'!K26-'Income Statement'!K30*Assumptions!$B$90</f>
        <v>3674.2674676515617</v>
      </c>
      <c r="L23" s="187">
        <f>K23+'Income Statement'!L26-'Income Statement'!L30*Assumptions!$B$90</f>
        <v>4533.9396991003077</v>
      </c>
      <c r="M23" s="187">
        <f>L23+'Income Statement'!M26-'Income Statement'!M30*Assumptions!$B$90</f>
        <v>5547.0241058476377</v>
      </c>
      <c r="N23" s="187">
        <f>M23+'Income Statement'!N26-'Income Statement'!N30*Assumptions!$B$90</f>
        <v>6736.798427467721</v>
      </c>
      <c r="O23" s="187">
        <f>N23+'Income Statement'!O26-'Income Statement'!O30*Assumptions!$B$90</f>
        <v>8098.9506689189375</v>
      </c>
    </row>
    <row r="24" spans="1:15" x14ac:dyDescent="0.3">
      <c r="A24" s="192" t="s">
        <v>140</v>
      </c>
      <c r="B24" s="192">
        <f t="shared" ref="B24:J24" si="6">B22+B23</f>
        <v>338.1</v>
      </c>
      <c r="C24" s="192">
        <f t="shared" si="6"/>
        <v>489.8</v>
      </c>
      <c r="D24" s="192">
        <f t="shared" si="6"/>
        <v>842.23</v>
      </c>
      <c r="E24" s="192">
        <f t="shared" si="6"/>
        <v>1082.5</v>
      </c>
      <c r="F24" s="193">
        <f t="shared" si="6"/>
        <v>1306.4646074034199</v>
      </c>
      <c r="G24" s="193">
        <f t="shared" si="6"/>
        <v>1591.9995399598283</v>
      </c>
      <c r="H24" s="193">
        <f t="shared" si="6"/>
        <v>1966.2278318517094</v>
      </c>
      <c r="I24" s="193">
        <f t="shared" si="6"/>
        <v>2436.7190579997623</v>
      </c>
      <c r="J24" s="193">
        <f t="shared" si="6"/>
        <v>3024.653138488934</v>
      </c>
      <c r="K24" s="193">
        <f t="shared" ref="K24:O24" si="7">K22+K23</f>
        <v>3735.2674676515617</v>
      </c>
      <c r="L24" s="193">
        <f t="shared" si="7"/>
        <v>4594.9396991003077</v>
      </c>
      <c r="M24" s="193">
        <f t="shared" si="7"/>
        <v>5608.0241058476377</v>
      </c>
      <c r="N24" s="193">
        <f t="shared" si="7"/>
        <v>6797.798427467721</v>
      </c>
      <c r="O24" s="193">
        <f t="shared" si="7"/>
        <v>8159.9506689189375</v>
      </c>
    </row>
    <row r="25" spans="1:15" x14ac:dyDescent="0.3">
      <c r="A25" s="186"/>
      <c r="B25" s="186"/>
      <c r="C25" s="186"/>
      <c r="D25" s="186"/>
      <c r="E25" s="186"/>
      <c r="F25" s="187"/>
      <c r="G25" s="187"/>
      <c r="H25" s="187"/>
      <c r="I25" s="187"/>
      <c r="J25" s="187"/>
      <c r="K25" s="187"/>
      <c r="L25" s="187"/>
      <c r="M25" s="187"/>
      <c r="N25" s="187"/>
      <c r="O25" s="187"/>
    </row>
    <row r="26" spans="1:15" x14ac:dyDescent="0.3">
      <c r="A26" s="188" t="s">
        <v>141</v>
      </c>
      <c r="B26" s="189"/>
      <c r="C26" s="189"/>
      <c r="D26" s="189"/>
      <c r="E26" s="189"/>
      <c r="F26" s="190"/>
      <c r="G26" s="190"/>
      <c r="H26" s="190"/>
      <c r="I26" s="190"/>
      <c r="J26" s="190"/>
      <c r="K26" s="190"/>
      <c r="L26" s="190"/>
      <c r="M26" s="190"/>
      <c r="N26" s="190"/>
      <c r="O26" s="190"/>
    </row>
    <row r="27" spans="1:15" x14ac:dyDescent="0.3">
      <c r="A27" s="186" t="s">
        <v>142</v>
      </c>
      <c r="B27" s="186">
        <v>2.9</v>
      </c>
      <c r="C27" s="186">
        <v>15.2</v>
      </c>
      <c r="D27" s="186">
        <v>126.72</v>
      </c>
      <c r="E27" s="186">
        <v>148.72999999999999</v>
      </c>
      <c r="F27" s="195">
        <f>'Debt Schedule'!F9</f>
        <v>95.2</v>
      </c>
      <c r="G27" s="195">
        <f>'Debt Schedule'!G9</f>
        <v>80.2</v>
      </c>
      <c r="H27" s="195">
        <f>'Debt Schedule'!H9</f>
        <v>65.2</v>
      </c>
      <c r="I27" s="195">
        <f>'Debt Schedule'!I9</f>
        <v>50.2</v>
      </c>
      <c r="J27" s="195">
        <f>'Debt Schedule'!J9</f>
        <v>35.200000000000003</v>
      </c>
      <c r="K27" s="195">
        <f>'Debt Schedule'!K9</f>
        <v>25.200000000000003</v>
      </c>
      <c r="L27" s="195">
        <f>'Debt Schedule'!L9</f>
        <v>15.200000000000003</v>
      </c>
      <c r="M27" s="195">
        <f>'Debt Schedule'!M9</f>
        <v>10.200000000000003</v>
      </c>
      <c r="N27" s="195">
        <f>'Debt Schedule'!N9</f>
        <v>5.2000000000000028</v>
      </c>
      <c r="O27" s="195">
        <f>'Debt Schedule'!O9</f>
        <v>0.20000000000000284</v>
      </c>
    </row>
    <row r="28" spans="1:15" x14ac:dyDescent="0.3">
      <c r="A28" s="189" t="s">
        <v>143</v>
      </c>
      <c r="B28" s="185">
        <v>15</v>
      </c>
      <c r="C28" s="185">
        <v>18</v>
      </c>
      <c r="D28" s="185">
        <v>13.24</v>
      </c>
      <c r="E28" s="185">
        <v>31.46</v>
      </c>
      <c r="F28" s="194">
        <v>32</v>
      </c>
      <c r="G28" s="194">
        <v>34</v>
      </c>
      <c r="H28" s="194">
        <v>36</v>
      </c>
      <c r="I28" s="194">
        <v>38</v>
      </c>
      <c r="J28" s="194">
        <v>40</v>
      </c>
      <c r="K28" s="194">
        <v>42</v>
      </c>
      <c r="L28" s="194">
        <v>44</v>
      </c>
      <c r="M28" s="194">
        <v>46</v>
      </c>
      <c r="N28" s="194">
        <v>48</v>
      </c>
      <c r="O28" s="194">
        <v>50</v>
      </c>
    </row>
    <row r="29" spans="1:15" x14ac:dyDescent="0.3">
      <c r="A29" s="192" t="s">
        <v>144</v>
      </c>
      <c r="B29" s="192">
        <f t="shared" ref="B29:J29" si="8">B27+B28</f>
        <v>17.899999999999999</v>
      </c>
      <c r="C29" s="192">
        <f t="shared" si="8"/>
        <v>33.200000000000003</v>
      </c>
      <c r="D29" s="192">
        <f t="shared" si="8"/>
        <v>139.96</v>
      </c>
      <c r="E29" s="192">
        <f t="shared" si="8"/>
        <v>180.19</v>
      </c>
      <c r="F29" s="193">
        <f t="shared" si="8"/>
        <v>127.2</v>
      </c>
      <c r="G29" s="193">
        <f t="shared" si="8"/>
        <v>114.2</v>
      </c>
      <c r="H29" s="193">
        <f t="shared" si="8"/>
        <v>101.2</v>
      </c>
      <c r="I29" s="193">
        <f t="shared" si="8"/>
        <v>88.2</v>
      </c>
      <c r="J29" s="193">
        <f t="shared" si="8"/>
        <v>75.2</v>
      </c>
      <c r="K29" s="193">
        <f t="shared" ref="K29:O29" si="9">K27+K28</f>
        <v>67.2</v>
      </c>
      <c r="L29" s="193">
        <f t="shared" si="9"/>
        <v>59.2</v>
      </c>
      <c r="M29" s="193">
        <f t="shared" si="9"/>
        <v>56.2</v>
      </c>
      <c r="N29" s="193">
        <f t="shared" si="9"/>
        <v>53.2</v>
      </c>
      <c r="O29" s="193">
        <f t="shared" si="9"/>
        <v>50.2</v>
      </c>
    </row>
    <row r="30" spans="1:15" x14ac:dyDescent="0.3">
      <c r="A30" s="185"/>
      <c r="B30" s="185"/>
      <c r="C30" s="185"/>
      <c r="D30" s="185"/>
      <c r="E30" s="185"/>
      <c r="F30" s="191"/>
      <c r="G30" s="191"/>
      <c r="H30" s="191"/>
      <c r="I30" s="191"/>
      <c r="J30" s="191"/>
      <c r="K30" s="191"/>
      <c r="L30" s="191"/>
      <c r="M30" s="191"/>
      <c r="N30" s="191"/>
      <c r="O30" s="191"/>
    </row>
    <row r="31" spans="1:15" x14ac:dyDescent="0.3">
      <c r="A31" s="188" t="s">
        <v>145</v>
      </c>
      <c r="B31" s="189"/>
      <c r="C31" s="189"/>
      <c r="D31" s="189"/>
      <c r="E31" s="189"/>
      <c r="F31" s="190"/>
      <c r="G31" s="190"/>
      <c r="H31" s="190"/>
      <c r="I31" s="190"/>
      <c r="J31" s="190"/>
      <c r="K31" s="190"/>
      <c r="L31" s="190"/>
      <c r="M31" s="190"/>
      <c r="N31" s="190"/>
      <c r="O31" s="190"/>
    </row>
    <row r="32" spans="1:15" x14ac:dyDescent="0.3">
      <c r="A32" s="189" t="s">
        <v>146</v>
      </c>
      <c r="B32" s="185">
        <v>94</v>
      </c>
      <c r="C32" s="185">
        <v>159</v>
      </c>
      <c r="D32" s="185">
        <v>89.19</v>
      </c>
      <c r="E32" s="185">
        <v>109.11</v>
      </c>
      <c r="F32" s="191">
        <f>ABS('Income Statement'!F7)*Assumptions!F23/365</f>
        <v>138.3806145287671</v>
      </c>
      <c r="G32" s="191">
        <f>ABS('Income Statement'!G7)*Assumptions!G23/365</f>
        <v>176.13718834849325</v>
      </c>
      <c r="H32" s="191">
        <f>ABS('Income Statement'!H7)*Assumptions!H23/365</f>
        <v>220.86777775830669</v>
      </c>
      <c r="I32" s="191">
        <f>ABS('Income Statement'!I7)*Assumptions!I23/365</f>
        <v>275.01079882031451</v>
      </c>
      <c r="J32" s="191">
        <f>ABS('Income Statement'!J7)*Assumptions!J23/365</f>
        <v>339.46645479382585</v>
      </c>
      <c r="K32" s="191">
        <f>ABS('Income Statement'!K7)*Assumptions!K23/365</f>
        <v>416.21539239938659</v>
      </c>
      <c r="L32" s="191">
        <f>ABS('Income Statement'!L7)*Assumptions!L23/365</f>
        <v>503.25801290836432</v>
      </c>
      <c r="M32" s="191">
        <f>ABS('Income Statement'!M7)*Assumptions!M23/365</f>
        <v>603.41039823489643</v>
      </c>
      <c r="N32" s="191">
        <f>ABS('Income Statement'!N7)*Assumptions!N23/365</f>
        <v>714.85485103925964</v>
      </c>
      <c r="O32" s="191">
        <f>ABS('Income Statement'!O7)*Assumptions!O23/365</f>
        <v>830.02591037336254</v>
      </c>
    </row>
    <row r="33" spans="1:15" x14ac:dyDescent="0.3">
      <c r="A33" s="197" t="s">
        <v>147</v>
      </c>
      <c r="B33" s="186">
        <v>30</v>
      </c>
      <c r="C33" s="186">
        <v>25</v>
      </c>
      <c r="D33" s="186">
        <v>45.18</v>
      </c>
      <c r="E33" s="186">
        <v>63.04</v>
      </c>
      <c r="F33" s="195">
        <f>'Debt Schedule'!F19 + MAX(0, F9+F12+F13+F15 - F24-F29-F32-F34-'Debt Schedule'!F19)</f>
        <v>54.999999999999993</v>
      </c>
      <c r="G33" s="195">
        <f>'Debt Schedule'!G19 + MAX(0, G9+G12+G13+G15 - G24-G29-G32-G34-'Debt Schedule'!G19)</f>
        <v>47.999999999999993</v>
      </c>
      <c r="H33" s="195">
        <f>'Debt Schedule'!H19 + MAX(0, H9+H12+H13+H15 - H24-H29-H32-H34-'Debt Schedule'!H19)</f>
        <v>41.999999999999993</v>
      </c>
      <c r="I33" s="195">
        <f>'Debt Schedule'!I19 + MAX(0, I9+I12+I13+I15 - I24-I29-I32-I34-'Debt Schedule'!I19)</f>
        <v>35.999999999999993</v>
      </c>
      <c r="J33" s="195">
        <f>'Debt Schedule'!J19 + MAX(0, J9+J12+J13+J15 - J24-J29-J32-J34-'Debt Schedule'!J19)</f>
        <v>29.999999999999993</v>
      </c>
      <c r="K33" s="195">
        <f>'Debt Schedule'!K19 + MAX(0, K9+K12+K13+K15 - K24-K29-K32-K34-'Debt Schedule'!K19)</f>
        <v>26.999999999999993</v>
      </c>
      <c r="L33" s="195">
        <f>'Debt Schedule'!L19 + MAX(0, L9+L12+L13+L15 - L24-L29-L32-L34-'Debt Schedule'!L19)</f>
        <v>24.999999999999993</v>
      </c>
      <c r="M33" s="195">
        <f>'Debt Schedule'!M19 + MAX(0, M9+M12+M13+M15 - M24-M29-M32-M34-'Debt Schedule'!M19)</f>
        <v>22.999999999999993</v>
      </c>
      <c r="N33" s="195">
        <f>'Debt Schedule'!N19 + MAX(0, N9+N12+N13+N15 - N24-N29-N32-N34-'Debt Schedule'!N19)</f>
        <v>20.999999999999993</v>
      </c>
      <c r="O33" s="195">
        <f>'Debt Schedule'!O19 + MAX(0, O9+O12+O13+O15 - O24-O29-O32-O34-'Debt Schedule'!O19)</f>
        <v>18.999999999999993</v>
      </c>
    </row>
    <row r="34" spans="1:15" x14ac:dyDescent="0.3">
      <c r="A34" s="189" t="s">
        <v>148</v>
      </c>
      <c r="B34" s="185">
        <v>42</v>
      </c>
      <c r="C34" s="185">
        <v>50</v>
      </c>
      <c r="D34" s="185">
        <v>73.430000000000007</v>
      </c>
      <c r="E34" s="185">
        <v>84.78</v>
      </c>
      <c r="F34" s="194">
        <v>85</v>
      </c>
      <c r="G34" s="194">
        <v>90</v>
      </c>
      <c r="H34" s="194">
        <v>95</v>
      </c>
      <c r="I34" s="194">
        <v>100</v>
      </c>
      <c r="J34" s="194">
        <v>105</v>
      </c>
      <c r="K34" s="194">
        <v>110</v>
      </c>
      <c r="L34" s="194">
        <v>115</v>
      </c>
      <c r="M34" s="194">
        <v>120</v>
      </c>
      <c r="N34" s="194">
        <v>125</v>
      </c>
      <c r="O34" s="194">
        <v>130</v>
      </c>
    </row>
    <row r="35" spans="1:15" x14ac:dyDescent="0.3">
      <c r="A35" s="192" t="s">
        <v>149</v>
      </c>
      <c r="B35" s="192">
        <f t="shared" ref="B35:J35" si="10">SUM(B32:B34)</f>
        <v>166</v>
      </c>
      <c r="C35" s="192">
        <f t="shared" si="10"/>
        <v>234</v>
      </c>
      <c r="D35" s="192">
        <f t="shared" si="10"/>
        <v>207.8</v>
      </c>
      <c r="E35" s="192">
        <f t="shared" si="10"/>
        <v>256.93</v>
      </c>
      <c r="F35" s="193">
        <f t="shared" si="10"/>
        <v>278.38061452876707</v>
      </c>
      <c r="G35" s="193">
        <f t="shared" si="10"/>
        <v>314.13718834849328</v>
      </c>
      <c r="H35" s="193">
        <f t="shared" si="10"/>
        <v>357.86777775830666</v>
      </c>
      <c r="I35" s="193">
        <f t="shared" si="10"/>
        <v>411.01079882031451</v>
      </c>
      <c r="J35" s="193">
        <f t="shared" si="10"/>
        <v>474.46645479382585</v>
      </c>
      <c r="K35" s="193">
        <f t="shared" ref="K35:O35" si="11">SUM(K32:K34)</f>
        <v>553.21539239938659</v>
      </c>
      <c r="L35" s="193">
        <f t="shared" si="11"/>
        <v>643.25801290836432</v>
      </c>
      <c r="M35" s="193">
        <f t="shared" si="11"/>
        <v>746.41039823489643</v>
      </c>
      <c r="N35" s="193">
        <f t="shared" si="11"/>
        <v>860.85485103925964</v>
      </c>
      <c r="O35" s="193">
        <f t="shared" si="11"/>
        <v>979.02591037336254</v>
      </c>
    </row>
    <row r="36" spans="1:15" x14ac:dyDescent="0.3">
      <c r="A36" s="185"/>
      <c r="B36" s="185"/>
      <c r="C36" s="185"/>
      <c r="D36" s="185"/>
      <c r="E36" s="185"/>
      <c r="F36" s="191"/>
      <c r="G36" s="191"/>
      <c r="H36" s="191"/>
      <c r="I36" s="191"/>
      <c r="J36" s="191"/>
      <c r="K36" s="191"/>
      <c r="L36" s="191"/>
      <c r="M36" s="191"/>
      <c r="N36" s="191"/>
      <c r="O36" s="191"/>
    </row>
    <row r="37" spans="1:15" x14ac:dyDescent="0.3">
      <c r="A37" s="192" t="s">
        <v>150</v>
      </c>
      <c r="B37" s="192">
        <f t="shared" ref="B37:J37" si="12">B24+B29+B35</f>
        <v>522</v>
      </c>
      <c r="C37" s="192">
        <f t="shared" si="12"/>
        <v>757</v>
      </c>
      <c r="D37" s="192">
        <f t="shared" si="12"/>
        <v>1189.99</v>
      </c>
      <c r="E37" s="192">
        <f t="shared" si="12"/>
        <v>1519.6200000000001</v>
      </c>
      <c r="F37" s="193">
        <f t="shared" si="12"/>
        <v>1712.0452219321869</v>
      </c>
      <c r="G37" s="193">
        <f t="shared" si="12"/>
        <v>2020.3367283083217</v>
      </c>
      <c r="H37" s="193">
        <f t="shared" si="12"/>
        <v>2425.2956096100161</v>
      </c>
      <c r="I37" s="193">
        <f t="shared" si="12"/>
        <v>2935.9298568200766</v>
      </c>
      <c r="J37" s="193">
        <f t="shared" si="12"/>
        <v>3574.3195932827598</v>
      </c>
      <c r="K37" s="193">
        <f t="shared" ref="K37:O37" si="13">K24+K29+K35</f>
        <v>4355.682860050948</v>
      </c>
      <c r="L37" s="193">
        <f t="shared" si="13"/>
        <v>5297.397712008672</v>
      </c>
      <c r="M37" s="193">
        <f t="shared" si="13"/>
        <v>6410.6345040825336</v>
      </c>
      <c r="N37" s="193">
        <f t="shared" si="13"/>
        <v>7711.8532785069801</v>
      </c>
      <c r="O37" s="193">
        <f t="shared" si="13"/>
        <v>9189.1765792922997</v>
      </c>
    </row>
    <row r="38" spans="1:15" x14ac:dyDescent="0.3">
      <c r="A38" s="185"/>
      <c r="B38" s="185"/>
      <c r="C38" s="185"/>
      <c r="D38" s="185"/>
      <c r="E38" s="185"/>
      <c r="F38" s="185"/>
      <c r="G38" s="185"/>
      <c r="H38" s="185"/>
      <c r="I38" s="185"/>
      <c r="J38" s="185"/>
      <c r="K38" s="185"/>
      <c r="L38" s="185"/>
      <c r="M38" s="185"/>
      <c r="N38" s="185"/>
      <c r="O38" s="185"/>
    </row>
    <row r="39" spans="1:15" x14ac:dyDescent="0.3">
      <c r="A39" s="232" t="s">
        <v>151</v>
      </c>
      <c r="B39" s="233">
        <f t="shared" ref="B39:J39" si="14">B18-B37</f>
        <v>0</v>
      </c>
      <c r="C39" s="233">
        <f t="shared" si="14"/>
        <v>0</v>
      </c>
      <c r="D39" s="233">
        <f t="shared" si="14"/>
        <v>0</v>
      </c>
      <c r="E39" s="233">
        <f t="shared" si="14"/>
        <v>0</v>
      </c>
      <c r="F39" s="233">
        <f t="shared" si="14"/>
        <v>0</v>
      </c>
      <c r="G39" s="233">
        <f t="shared" si="14"/>
        <v>0</v>
      </c>
      <c r="H39" s="233">
        <f t="shared" si="14"/>
        <v>0</v>
      </c>
      <c r="I39" s="233">
        <f t="shared" si="14"/>
        <v>0</v>
      </c>
      <c r="J39" s="233">
        <f t="shared" si="14"/>
        <v>0</v>
      </c>
      <c r="K39" s="233">
        <f t="shared" ref="K39:O39" si="15">K18-K37</f>
        <v>0</v>
      </c>
      <c r="L39" s="233">
        <f t="shared" si="15"/>
        <v>0</v>
      </c>
      <c r="M39" s="233">
        <f t="shared" si="15"/>
        <v>0</v>
      </c>
      <c r="N39" s="233">
        <f t="shared" si="15"/>
        <v>0</v>
      </c>
      <c r="O39" s="233">
        <f t="shared" si="15"/>
        <v>0</v>
      </c>
    </row>
    <row r="40" spans="1:15" x14ac:dyDescent="0.3">
      <c r="A40" s="185"/>
      <c r="B40" s="185"/>
      <c r="C40" s="185"/>
      <c r="D40" s="185"/>
      <c r="E40" s="185"/>
      <c r="F40" s="185"/>
      <c r="G40" s="185"/>
      <c r="H40" s="185"/>
      <c r="I40" s="185"/>
      <c r="J40" s="185"/>
      <c r="K40" s="185"/>
      <c r="L40" s="185"/>
      <c r="M40" s="185"/>
      <c r="N40" s="185"/>
      <c r="O40" s="185"/>
    </row>
    <row r="41" spans="1:15" ht="22.05" customHeight="1" x14ac:dyDescent="0.3">
      <c r="A41" s="230" t="s">
        <v>152</v>
      </c>
      <c r="B41" s="230"/>
      <c r="C41" s="230"/>
      <c r="D41" s="230"/>
      <c r="E41" s="230"/>
      <c r="F41" s="230"/>
      <c r="G41" s="230"/>
      <c r="H41" s="230"/>
      <c r="I41" s="230"/>
      <c r="J41" s="230"/>
      <c r="K41" s="230"/>
      <c r="L41" s="230"/>
      <c r="M41" s="230"/>
      <c r="N41" s="230"/>
      <c r="O41" s="230"/>
    </row>
    <row r="42" spans="1:15" x14ac:dyDescent="0.3">
      <c r="A42" s="185" t="s">
        <v>153</v>
      </c>
      <c r="B42" s="199">
        <f>B24/Assumptions!B90</f>
        <v>55.709342560553637</v>
      </c>
      <c r="C42" s="199">
        <f>C24/Assumptions!B90</f>
        <v>80.705223265776908</v>
      </c>
      <c r="D42" s="199">
        <f>D24/Assumptions!B90</f>
        <v>138.77574559235458</v>
      </c>
      <c r="E42" s="199">
        <f>E24/Assumptions!B90</f>
        <v>178.36546383259187</v>
      </c>
      <c r="F42" s="199">
        <f>F24/Assumptions!B90</f>
        <v>215.26851333060139</v>
      </c>
      <c r="G42" s="199">
        <f>G24/Assumptions!B90</f>
        <v>262.3166155807923</v>
      </c>
      <c r="H42" s="199">
        <f>H24/Assumptions!B90</f>
        <v>323.97888150464814</v>
      </c>
      <c r="I42" s="199">
        <f>I24/Assumptions!B90</f>
        <v>401.50256351948627</v>
      </c>
      <c r="J42" s="199">
        <f>J24/Assumptions!B90</f>
        <v>498.37751499240966</v>
      </c>
      <c r="K42" s="199">
        <f>K24/Assumptions!$B$90</f>
        <v>615.46671076809389</v>
      </c>
      <c r="L42" s="199">
        <f>L24/Assumptions!$B$90</f>
        <v>757.11644407650488</v>
      </c>
      <c r="M42" s="199">
        <f>M24/Assumptions!$B$90</f>
        <v>924.04417628071144</v>
      </c>
      <c r="N42" s="199">
        <f>N24/Assumptions!$B$90</f>
        <v>1120.0854222223959</v>
      </c>
      <c r="O42" s="199">
        <f>O24/Assumptions!$B$90</f>
        <v>1344.5296867554684</v>
      </c>
    </row>
    <row r="43" spans="1:15" x14ac:dyDescent="0.3">
      <c r="A43" s="186" t="s">
        <v>154</v>
      </c>
      <c r="B43" s="234">
        <f>IF(B24&gt;0,'Income Statement'!B26/B24,0)</f>
        <v>5.3119787045252928E-2</v>
      </c>
      <c r="C43" s="234">
        <f>IF(C24&gt;0,'Income Statement'!C26/C24,0)</f>
        <v>0.21126512862392818</v>
      </c>
      <c r="D43" s="234">
        <f>IF(D24&gt;0,'Income Statement'!D26/D24,0)</f>
        <v>0.18958455528774809</v>
      </c>
      <c r="E43" s="234">
        <f>IF(E24&gt;0,'Income Statement'!E26/E24,0)</f>
        <v>0.19727014780600474</v>
      </c>
      <c r="F43" s="234">
        <f>IF(F24&gt;0,'Income Statement'!F26/F24,0)</f>
        <v>0.18895222164542955</v>
      </c>
      <c r="G43" s="234">
        <f>IF(G24&gt;0,'Income Statement'!G26/G24,0)</f>
        <v>0.1979648622995285</v>
      </c>
      <c r="H43" s="234">
        <f>IF(H24&gt;0,'Income Statement'!H26/H24,0)</f>
        <v>0.21007510071985924</v>
      </c>
      <c r="I43" s="234">
        <f>IF(I24&gt;0,'Income Statement'!I26/I24,0)</f>
        <v>0.21311689068996345</v>
      </c>
      <c r="J43" s="234">
        <f>IF(J24&gt;0,'Income Statement'!J26/J24,0)</f>
        <v>0.21454819245779003</v>
      </c>
      <c r="K43" s="234">
        <f>IF(K24&gt;0,'Income Statement'!K26/K24,0)</f>
        <v>0.20998296198657465</v>
      </c>
      <c r="L43" s="234">
        <f>IF(L24&gt;0,'Income Statement'!L26/L24,0)</f>
        <v>0.20650229595207442</v>
      </c>
      <c r="M43" s="234">
        <f>IF(M24&gt;0,'Income Statement'!M26/M24,0)</f>
        <v>0.19939192277511197</v>
      </c>
      <c r="N43" s="234">
        <f>IF(N24&gt;0,'Income Statement'!N26/N24,0)</f>
        <v>0.19318264649090011</v>
      </c>
      <c r="O43" s="234">
        <f>IF(O24&gt;0,'Income Statement'!O26/O24,0)</f>
        <v>0.18425102751254796</v>
      </c>
    </row>
    <row r="44" spans="1:15" x14ac:dyDescent="0.3">
      <c r="A44" s="201" t="s">
        <v>155</v>
      </c>
      <c r="B44" s="235">
        <f t="shared" ref="B44:J44" si="16">B27+B33-B14</f>
        <v>17.899999999999999</v>
      </c>
      <c r="C44" s="235">
        <f t="shared" si="16"/>
        <v>4.2000000000000028</v>
      </c>
      <c r="D44" s="235">
        <f t="shared" si="16"/>
        <v>-133.99999999999997</v>
      </c>
      <c r="E44" s="235">
        <f>E27+E33-E14</f>
        <v>-13.600000000000023</v>
      </c>
      <c r="F44" s="235">
        <f>F27+F33-F14</f>
        <v>-37.588651377392523</v>
      </c>
      <c r="G44" s="235">
        <f t="shared" si="16"/>
        <v>-98.107976791499425</v>
      </c>
      <c r="H44" s="235">
        <f t="shared" si="16"/>
        <v>-367.87576967332376</v>
      </c>
      <c r="I44" s="235">
        <f t="shared" si="16"/>
        <v>-768.5638858139514</v>
      </c>
      <c r="J44" s="235">
        <f t="shared" si="16"/>
        <v>-1331.8237056316184</v>
      </c>
      <c r="K44" s="235">
        <f t="shared" ref="K44:O44" si="17">K27+K33-K14</f>
        <v>-2037.7141583955492</v>
      </c>
      <c r="L44" s="235">
        <f t="shared" si="17"/>
        <v>-2922.7171903029539</v>
      </c>
      <c r="M44" s="235">
        <f t="shared" si="17"/>
        <v>-3986.3485280039558</v>
      </c>
      <c r="N44" s="235">
        <f t="shared" si="17"/>
        <v>-5252.6165675671309</v>
      </c>
      <c r="O44" s="235">
        <f t="shared" si="17"/>
        <v>-6704.1951515061583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E7886-FC26-4260-806A-FC88AB554668}">
  <sheetPr>
    <tabColor rgb="FF1B3A5C"/>
  </sheetPr>
  <dimension ref="A1:O34"/>
  <sheetViews>
    <sheetView showGridLines="0" workbookViewId="0">
      <pane xSplit="1" topLeftCell="E1" activePane="topRight" state="frozen"/>
      <selection pane="topRight"/>
    </sheetView>
  </sheetViews>
  <sheetFormatPr defaultRowHeight="14.4" x14ac:dyDescent="0.3"/>
  <cols>
    <col min="1" max="1" width="46.33203125" customWidth="1"/>
    <col min="2" max="10" width="17.5546875" customWidth="1"/>
    <col min="11" max="11" width="16.88671875" customWidth="1"/>
    <col min="12" max="12" width="17" customWidth="1"/>
    <col min="13" max="14" width="17.33203125" customWidth="1"/>
    <col min="15" max="15" width="17.109375" customWidth="1"/>
  </cols>
  <sheetData>
    <row r="1" spans="1:15" ht="28.05" customHeight="1" x14ac:dyDescent="0.35">
      <c r="A1" s="176" t="s">
        <v>156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</row>
    <row r="2" spans="1:15" x14ac:dyDescent="0.3">
      <c r="A2" s="38" t="s">
        <v>157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</row>
    <row r="3" spans="1:15" x14ac:dyDescent="0.3">
      <c r="A3" s="37"/>
      <c r="B3" s="178" t="s">
        <v>45</v>
      </c>
      <c r="C3" s="178" t="s">
        <v>46</v>
      </c>
      <c r="D3" s="178" t="s">
        <v>47</v>
      </c>
      <c r="E3" s="178" t="s">
        <v>48</v>
      </c>
      <c r="F3" s="178" t="s">
        <v>49</v>
      </c>
      <c r="G3" s="178" t="s">
        <v>50</v>
      </c>
      <c r="H3" s="178" t="s">
        <v>51</v>
      </c>
      <c r="I3" s="178" t="s">
        <v>52</v>
      </c>
      <c r="J3" s="178" t="s">
        <v>53</v>
      </c>
      <c r="K3" s="178" t="s">
        <v>486</v>
      </c>
      <c r="L3" s="178" t="s">
        <v>487</v>
      </c>
      <c r="M3" s="178" t="s">
        <v>488</v>
      </c>
      <c r="N3" s="178" t="s">
        <v>489</v>
      </c>
      <c r="O3" s="178" t="s">
        <v>490</v>
      </c>
    </row>
    <row r="4" spans="1:15" ht="22.05" customHeight="1" x14ac:dyDescent="0.3">
      <c r="A4" s="229" t="s">
        <v>158</v>
      </c>
      <c r="B4" s="229"/>
      <c r="C4" s="229"/>
      <c r="D4" s="229"/>
      <c r="E4" s="229"/>
      <c r="F4" s="229"/>
      <c r="G4" s="229"/>
      <c r="H4" s="229"/>
      <c r="I4" s="229"/>
      <c r="J4" s="229"/>
      <c r="K4" s="229"/>
      <c r="L4" s="229"/>
      <c r="M4" s="229"/>
      <c r="N4" s="229"/>
      <c r="O4" s="229"/>
    </row>
    <row r="5" spans="1:15" x14ac:dyDescent="0.3">
      <c r="A5" s="186" t="s">
        <v>159</v>
      </c>
      <c r="B5" s="186">
        <f>'Income Statement'!B26</f>
        <v>17.959800000000016</v>
      </c>
      <c r="C5" s="186">
        <f>'Income Statement'!C26</f>
        <v>103.47766000000003</v>
      </c>
      <c r="D5" s="186">
        <f>'Income Statement'!D26</f>
        <v>159.67380000000009</v>
      </c>
      <c r="E5" s="238">
        <f>'Income Statement'!E26</f>
        <v>213.54493500000012</v>
      </c>
      <c r="F5" s="238">
        <f>'Income Statement'!F26</f>
        <v>246.8593900700001</v>
      </c>
      <c r="G5" s="238">
        <f>'Income Statement'!G26</f>
        <v>315.15996970906014</v>
      </c>
      <c r="H5" s="238">
        <f>'Income Statement'!H26</f>
        <v>413.05550981443832</v>
      </c>
      <c r="I5" s="238">
        <f>'Income Statement'!I26</f>
        <v>519.30598912588607</v>
      </c>
      <c r="J5" s="238">
        <f>'Income Statement'!J26</f>
        <v>648.93386367458243</v>
      </c>
      <c r="K5" s="238">
        <f>'Income Statement'!K26</f>
        <v>784.34252666956684</v>
      </c>
      <c r="L5" s="238">
        <f>'Income Statement'!L26</f>
        <v>948.86559762554748</v>
      </c>
      <c r="M5" s="238">
        <f>'Income Statement'!M26</f>
        <v>1118.1947094341385</v>
      </c>
      <c r="N5" s="238">
        <f>'Income Statement'!N26</f>
        <v>1313.2166905298934</v>
      </c>
      <c r="O5" s="238">
        <f>'Income Statement'!O26</f>
        <v>1503.4792952000173</v>
      </c>
    </row>
    <row r="6" spans="1:15" x14ac:dyDescent="0.3">
      <c r="A6" s="185" t="s">
        <v>160</v>
      </c>
      <c r="B6" s="185">
        <f>-'Income Statement'!B17</f>
        <v>38.04</v>
      </c>
      <c r="C6" s="185">
        <f>-'Income Statement'!C17</f>
        <v>40.67</v>
      </c>
      <c r="D6" s="185">
        <f>-'Income Statement'!D17</f>
        <v>51.24</v>
      </c>
      <c r="E6" s="185">
        <f>-'Income Statement'!E17</f>
        <v>69.180000000000007</v>
      </c>
      <c r="F6" s="199">
        <f>-'Income Statement'!F17</f>
        <v>82.338721500000005</v>
      </c>
      <c r="G6" s="199">
        <f>-'Income Statement'!G17</f>
        <v>109.06351796400006</v>
      </c>
      <c r="H6" s="199">
        <f>-'Income Statement'!H17</f>
        <v>127.96307759013008</v>
      </c>
      <c r="I6" s="199">
        <f>-'Income Statement'!I17</f>
        <v>148.78301616019976</v>
      </c>
      <c r="J6" s="199">
        <f>-'Income Statement'!J17</f>
        <v>171.41043320123023</v>
      </c>
      <c r="K6" s="199">
        <f>-'Income Statement'!K17</f>
        <v>195.65276589683288</v>
      </c>
      <c r="L6" s="199">
        <f>-'Income Statement'!L17</f>
        <v>221.23148779128644</v>
      </c>
      <c r="M6" s="199">
        <f>-'Income Statement'!M17</f>
        <v>247.77926632624073</v>
      </c>
      <c r="N6" s="199">
        <f>-'Income Statement'!N17</f>
        <v>274.84140807031002</v>
      </c>
      <c r="O6" s="199">
        <f>-'Income Statement'!O17</f>
        <v>303.21213406466455</v>
      </c>
    </row>
    <row r="7" spans="1:15" x14ac:dyDescent="0.3">
      <c r="A7" s="186" t="s">
        <v>161</v>
      </c>
      <c r="B7" s="186">
        <v>-20</v>
      </c>
      <c r="C7" s="186">
        <v>-60</v>
      </c>
      <c r="D7" s="186">
        <v>56.9</v>
      </c>
      <c r="E7" s="186">
        <v>-68.94</v>
      </c>
      <c r="F7" s="238">
        <f>-('Balance Sheet'!F12-'Balance Sheet'!E12)</f>
        <v>-66.896861369863018</v>
      </c>
      <c r="G7" s="238">
        <f>-('Balance Sheet'!G12-'Balance Sheet'!F12)</f>
        <v>-79.406109501370054</v>
      </c>
      <c r="H7" s="238">
        <f>-('Balance Sheet'!H12-'Balance Sheet'!G12)</f>
        <v>-80.795071887534391</v>
      </c>
      <c r="I7" s="238">
        <f>-('Balance Sheet'!I12-'Balance Sheet'!H12)</f>
        <v>-90.2990099543822</v>
      </c>
      <c r="J7" s="238">
        <f>-('Balance Sheet'!J12-'Balance Sheet'!I12)</f>
        <v>-99.698208317394574</v>
      </c>
      <c r="K7" s="238">
        <f>-('Balance Sheet'!K12-'Balance Sheet'!J12)</f>
        <v>-108.68293611976264</v>
      </c>
      <c r="L7" s="238">
        <f>-('Balance Sheet'!L12-'Balance Sheet'!K12)</f>
        <v>-116.90292176672165</v>
      </c>
      <c r="M7" s="238">
        <f>-('Balance Sheet'!M12-'Balance Sheet'!L12)</f>
        <v>-123.97779515078298</v>
      </c>
      <c r="N7" s="238">
        <f>-('Balance Sheet'!N12-'Balance Sheet'!M12)</f>
        <v>-129.51133740768046</v>
      </c>
      <c r="O7" s="238">
        <f>-('Balance Sheet'!O12-'Balance Sheet'!N12)</f>
        <v>-138.93882935591432</v>
      </c>
    </row>
    <row r="8" spans="1:15" x14ac:dyDescent="0.3">
      <c r="A8" s="185" t="s">
        <v>162</v>
      </c>
      <c r="B8" s="185">
        <v>-8</v>
      </c>
      <c r="C8" s="185">
        <v>-25</v>
      </c>
      <c r="D8" s="185">
        <v>74.349999999999994</v>
      </c>
      <c r="E8" s="185">
        <v>-69.67</v>
      </c>
      <c r="F8" s="199">
        <f>-('Balance Sheet'!F13-'Balance Sheet'!E13)</f>
        <v>-46.148430684931526</v>
      </c>
      <c r="G8" s="199">
        <f>-('Balance Sheet'!G13-'Balance Sheet'!F13)</f>
        <v>-55.429589424657649</v>
      </c>
      <c r="H8" s="199">
        <f>-('Balance Sheet'!H13-'Balance Sheet'!G13)</f>
        <v>-48.359094122465791</v>
      </c>
      <c r="I8" s="199">
        <f>-('Balance Sheet'!I13-'Balance Sheet'!H13)</f>
        <v>-55.430137275250445</v>
      </c>
      <c r="J8" s="199">
        <f>-('Balance Sheet'!J13-'Balance Sheet'!I13)</f>
        <v>-62.842141528851641</v>
      </c>
      <c r="K8" s="199">
        <f>-('Balance Sheet'!K13-'Balance Sheet'!J13)</f>
        <v>-70.442643781327661</v>
      </c>
      <c r="L8" s="199">
        <f>-('Balance Sheet'!L13-'Balance Sheet'!K13)</f>
        <v>-78.040386074884907</v>
      </c>
      <c r="M8" s="199">
        <f>-('Balance Sheet'!M13-'Balance Sheet'!L13)</f>
        <v>-85.40692554831719</v>
      </c>
      <c r="N8" s="199">
        <f>-('Balance Sheet'!N13-'Balance Sheet'!M13)</f>
        <v>-92.280805523900199</v>
      </c>
      <c r="O8" s="199">
        <f>-('Balance Sheet'!O13-'Balance Sheet'!N13)</f>
        <v>-102.01802155504208</v>
      </c>
    </row>
    <row r="9" spans="1:15" x14ac:dyDescent="0.3">
      <c r="A9" s="186" t="s">
        <v>163</v>
      </c>
      <c r="B9" s="186">
        <v>18</v>
      </c>
      <c r="C9" s="186">
        <v>80</v>
      </c>
      <c r="D9" s="186">
        <v>-69.81</v>
      </c>
      <c r="E9" s="186">
        <v>19.920000000000002</v>
      </c>
      <c r="F9" s="238">
        <f>'Balance Sheet'!F32-'Balance Sheet'!E32</f>
        <v>29.270614528767098</v>
      </c>
      <c r="G9" s="238">
        <f>'Balance Sheet'!G32-'Balance Sheet'!F32</f>
        <v>37.756573819726157</v>
      </c>
      <c r="H9" s="238">
        <f>'Balance Sheet'!H32-'Balance Sheet'!G32</f>
        <v>44.730589409813433</v>
      </c>
      <c r="I9" s="238">
        <f>'Balance Sheet'!I32-'Balance Sheet'!H32</f>
        <v>54.143021062007819</v>
      </c>
      <c r="J9" s="238">
        <f>'Balance Sheet'!J32-'Balance Sheet'!I32</f>
        <v>64.455655973511341</v>
      </c>
      <c r="K9" s="238">
        <f>'Balance Sheet'!K32-'Balance Sheet'!J32</f>
        <v>76.748937605560741</v>
      </c>
      <c r="L9" s="238">
        <f>'Balance Sheet'!L32-'Balance Sheet'!K32</f>
        <v>87.042620508977734</v>
      </c>
      <c r="M9" s="238">
        <f>'Balance Sheet'!M32-'Balance Sheet'!L32</f>
        <v>100.15238532653211</v>
      </c>
      <c r="N9" s="238">
        <f>'Balance Sheet'!N32-'Balance Sheet'!M32</f>
        <v>111.44445280436321</v>
      </c>
      <c r="O9" s="238">
        <f>'Balance Sheet'!O32-'Balance Sheet'!N32</f>
        <v>115.17105933410289</v>
      </c>
    </row>
    <row r="10" spans="1:15" x14ac:dyDescent="0.3">
      <c r="A10" s="185" t="s">
        <v>164</v>
      </c>
      <c r="B10" s="185">
        <v>4.9000000000000004</v>
      </c>
      <c r="C10" s="185">
        <v>34.21</v>
      </c>
      <c r="D10" s="185">
        <v>-89.86</v>
      </c>
      <c r="E10" s="185">
        <v>19.3</v>
      </c>
      <c r="F10" s="239">
        <f>('Balance Sheet'!F14-'Balance Sheet'!E14)-(F5+F6+F7+F8+F9+F17+F23)</f>
        <v>66.769999999999868</v>
      </c>
      <c r="G10" s="239">
        <f>('Balance Sheet'!G14-'Balance Sheet'!F14)-(G5+G6+G7+G8+G9+G17+G23)</f>
        <v>12.999999999999943</v>
      </c>
      <c r="H10" s="239">
        <f>('Balance Sheet'!H14-'Balance Sheet'!G14)-(H5+H6+H7+H8+H9+H17+H23)</f>
        <v>11.999999999999858</v>
      </c>
      <c r="I10" s="239">
        <f>('Balance Sheet'!I14-'Balance Sheet'!H14)-(I5+I6+I7+I8+I9+I17+I23)</f>
        <v>7.9999999999998863</v>
      </c>
      <c r="J10" s="239">
        <f>('Balance Sheet'!J14-'Balance Sheet'!I14)-(J5+J6+J7+J8+J9+J17+J23)</f>
        <v>7.0000000000001137</v>
      </c>
      <c r="K10" s="239">
        <f>('Balance Sheet'!K14-'Balance Sheet'!J14)-(K5+K6+K7+K8+K9+K17+K23)</f>
        <v>7</v>
      </c>
      <c r="L10" s="239">
        <f>('Balance Sheet'!L14-'Balance Sheet'!K14)-(L5+L6+L7+L8+L9+L17+L23)</f>
        <v>7.0000000000006821</v>
      </c>
      <c r="M10" s="239">
        <f>('Balance Sheet'!M14-'Balance Sheet'!L14)-(M5+M6+M7+M8+M9+M17+M23)</f>
        <v>2</v>
      </c>
      <c r="N10" s="239">
        <f>('Balance Sheet'!N14-'Balance Sheet'!M14)-(N5+N6+N7+N8+N9+N17+N23)</f>
        <v>1.9999999999990905</v>
      </c>
      <c r="O10" s="239">
        <f>('Balance Sheet'!O14-'Balance Sheet'!N14)-(O5+O6+O7+O8+O9+O17+O23)</f>
        <v>2.0000000000009095</v>
      </c>
    </row>
    <row r="11" spans="1:15" x14ac:dyDescent="0.3">
      <c r="A11" s="208"/>
      <c r="B11" s="208"/>
      <c r="C11" s="208"/>
      <c r="D11" s="208"/>
      <c r="E11" s="208"/>
      <c r="F11" s="208"/>
      <c r="G11" s="208"/>
      <c r="H11" s="208"/>
      <c r="I11" s="208"/>
      <c r="J11" s="208"/>
      <c r="K11" s="208"/>
      <c r="L11" s="208"/>
      <c r="M11" s="208"/>
      <c r="N11" s="208"/>
      <c r="O11" s="208"/>
    </row>
    <row r="12" spans="1:15" x14ac:dyDescent="0.3">
      <c r="A12" s="213" t="s">
        <v>165</v>
      </c>
      <c r="B12" s="213">
        <f t="shared" ref="B12:J12" si="0">SUM(B5:B10)</f>
        <v>50.899800000000013</v>
      </c>
      <c r="C12" s="213">
        <f t="shared" si="0"/>
        <v>173.35766000000004</v>
      </c>
      <c r="D12" s="213">
        <f t="shared" si="0"/>
        <v>182.49380000000002</v>
      </c>
      <c r="E12" s="224">
        <f t="shared" si="0"/>
        <v>183.33493500000014</v>
      </c>
      <c r="F12" s="224">
        <f t="shared" si="0"/>
        <v>312.1934340439725</v>
      </c>
      <c r="G12" s="224">
        <f t="shared" si="0"/>
        <v>340.14436256675856</v>
      </c>
      <c r="H12" s="224">
        <f t="shared" si="0"/>
        <v>468.59501080438156</v>
      </c>
      <c r="I12" s="224">
        <f t="shared" si="0"/>
        <v>584.5028791184609</v>
      </c>
      <c r="J12" s="224">
        <f t="shared" si="0"/>
        <v>729.25960300307781</v>
      </c>
      <c r="K12" s="224">
        <f t="shared" ref="K12:O12" si="1">SUM(K5:K10)</f>
        <v>884.61865027087015</v>
      </c>
      <c r="L12" s="224">
        <f t="shared" si="1"/>
        <v>1069.1963980842058</v>
      </c>
      <c r="M12" s="224">
        <f t="shared" si="1"/>
        <v>1258.741640387811</v>
      </c>
      <c r="N12" s="224">
        <f t="shared" si="1"/>
        <v>1479.7104084729851</v>
      </c>
      <c r="O12" s="224">
        <f t="shared" si="1"/>
        <v>1682.9056376878291</v>
      </c>
    </row>
    <row r="13" spans="1:15" x14ac:dyDescent="0.3">
      <c r="A13" s="215"/>
      <c r="B13" s="215"/>
      <c r="C13" s="215"/>
      <c r="D13" s="215"/>
      <c r="E13" s="215"/>
      <c r="F13" s="215"/>
      <c r="G13" s="215"/>
      <c r="H13" s="215"/>
      <c r="I13" s="215"/>
      <c r="J13" s="215"/>
      <c r="K13" s="215"/>
      <c r="L13" s="215"/>
      <c r="M13" s="215"/>
      <c r="N13" s="215"/>
      <c r="O13" s="215"/>
    </row>
    <row r="14" spans="1:15" ht="22.05" customHeight="1" x14ac:dyDescent="0.3">
      <c r="A14" s="230" t="s">
        <v>166</v>
      </c>
      <c r="B14" s="230"/>
      <c r="C14" s="230"/>
      <c r="D14" s="230"/>
      <c r="E14" s="230"/>
      <c r="F14" s="230"/>
      <c r="G14" s="230"/>
      <c r="H14" s="230"/>
      <c r="I14" s="230"/>
      <c r="J14" s="230"/>
      <c r="K14" s="230"/>
      <c r="L14" s="230"/>
      <c r="M14" s="230"/>
      <c r="N14" s="230"/>
      <c r="O14" s="230"/>
    </row>
    <row r="15" spans="1:15" x14ac:dyDescent="0.3">
      <c r="A15" s="186" t="s">
        <v>167</v>
      </c>
      <c r="B15" s="186">
        <f>-Assumptions!B26</f>
        <v>-30</v>
      </c>
      <c r="C15" s="186">
        <f>-Assumptions!C26</f>
        <v>-50</v>
      </c>
      <c r="D15" s="186">
        <f>-Assumptions!D26</f>
        <v>-152.81</v>
      </c>
      <c r="E15" s="186">
        <f>-Assumptions!E26</f>
        <v>-210.02</v>
      </c>
      <c r="F15" s="186">
        <f>-Assumptions!F26</f>
        <v>-250</v>
      </c>
      <c r="G15" s="186">
        <f>-Assumptions!G26</f>
        <v>-240</v>
      </c>
      <c r="H15" s="186">
        <f>-Assumptions!H26</f>
        <v>-150</v>
      </c>
      <c r="I15" s="186">
        <f>-Assumptions!I26</f>
        <v>-130</v>
      </c>
      <c r="J15" s="186">
        <f>-Assumptions!J26</f>
        <v>-100</v>
      </c>
      <c r="K15" s="186">
        <f>-Assumptions!K26</f>
        <v>-100</v>
      </c>
      <c r="L15" s="186">
        <f>-Assumptions!L26</f>
        <v>-90</v>
      </c>
      <c r="M15" s="186">
        <f>-Assumptions!M26</f>
        <v>-90</v>
      </c>
      <c r="N15" s="186">
        <f>-Assumptions!N26</f>
        <v>-90</v>
      </c>
      <c r="O15" s="186">
        <f>-Assumptions!O26</f>
        <v>-90</v>
      </c>
    </row>
    <row r="16" spans="1:15" x14ac:dyDescent="0.3">
      <c r="A16" s="185" t="s">
        <v>168</v>
      </c>
      <c r="B16" s="185">
        <v>-3.7</v>
      </c>
      <c r="C16" s="185">
        <v>-85.9</v>
      </c>
      <c r="D16" s="185">
        <v>-304.7</v>
      </c>
      <c r="E16" s="185">
        <v>70.45</v>
      </c>
      <c r="F16" s="239">
        <v>-15</v>
      </c>
      <c r="G16" s="239">
        <v>-10</v>
      </c>
      <c r="H16" s="239">
        <v>-10</v>
      </c>
      <c r="I16" s="239">
        <v>-5</v>
      </c>
      <c r="J16" s="239">
        <v>-5</v>
      </c>
      <c r="K16" s="239">
        <v>-5</v>
      </c>
      <c r="L16" s="239">
        <v>-5</v>
      </c>
      <c r="M16" s="239">
        <v>0</v>
      </c>
      <c r="N16" s="239">
        <v>0</v>
      </c>
      <c r="O16" s="239">
        <v>0</v>
      </c>
    </row>
    <row r="17" spans="1:15" x14ac:dyDescent="0.3">
      <c r="A17" s="240" t="s">
        <v>169</v>
      </c>
      <c r="B17" s="241">
        <f t="shared" ref="B17:J17" si="2">B15+B16</f>
        <v>-33.700000000000003</v>
      </c>
      <c r="C17" s="241">
        <f t="shared" si="2"/>
        <v>-135.9</v>
      </c>
      <c r="D17" s="241">
        <f t="shared" si="2"/>
        <v>-457.51</v>
      </c>
      <c r="E17" s="241">
        <f t="shared" si="2"/>
        <v>-139.57</v>
      </c>
      <c r="F17" s="241">
        <f t="shared" si="2"/>
        <v>-265</v>
      </c>
      <c r="G17" s="241">
        <f t="shared" si="2"/>
        <v>-250</v>
      </c>
      <c r="H17" s="241">
        <f t="shared" si="2"/>
        <v>-160</v>
      </c>
      <c r="I17" s="241">
        <f t="shared" si="2"/>
        <v>-135</v>
      </c>
      <c r="J17" s="241">
        <f t="shared" si="2"/>
        <v>-105</v>
      </c>
      <c r="K17" s="241">
        <f t="shared" ref="K17:O17" si="3">K15+K16</f>
        <v>-105</v>
      </c>
      <c r="L17" s="241">
        <f t="shared" si="3"/>
        <v>-95</v>
      </c>
      <c r="M17" s="241">
        <f t="shared" si="3"/>
        <v>-90</v>
      </c>
      <c r="N17" s="241">
        <f t="shared" si="3"/>
        <v>-90</v>
      </c>
      <c r="O17" s="241">
        <f t="shared" si="3"/>
        <v>-90</v>
      </c>
    </row>
    <row r="18" spans="1:15" x14ac:dyDescent="0.3">
      <c r="A18" s="185"/>
      <c r="B18" s="185"/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  <c r="N18" s="185"/>
      <c r="O18" s="185"/>
    </row>
    <row r="19" spans="1:15" ht="22.05" customHeight="1" x14ac:dyDescent="0.3">
      <c r="A19" s="230" t="s">
        <v>170</v>
      </c>
      <c r="B19" s="230"/>
      <c r="C19" s="230"/>
      <c r="D19" s="230"/>
      <c r="E19" s="230"/>
      <c r="F19" s="230"/>
      <c r="G19" s="230"/>
      <c r="H19" s="230"/>
      <c r="I19" s="230"/>
      <c r="J19" s="230"/>
      <c r="K19" s="230"/>
      <c r="L19" s="230"/>
      <c r="M19" s="230"/>
      <c r="N19" s="230"/>
      <c r="O19" s="230"/>
    </row>
    <row r="20" spans="1:15" x14ac:dyDescent="0.3">
      <c r="A20" s="185" t="s">
        <v>171</v>
      </c>
      <c r="B20" s="185">
        <v>-28.91</v>
      </c>
      <c r="C20" s="185">
        <v>-2.68</v>
      </c>
      <c r="D20" s="185">
        <v>-28.13</v>
      </c>
      <c r="E20" s="185">
        <v>-24.58</v>
      </c>
      <c r="F20" s="242">
        <f>('Balance Sheet'!F27-'Balance Sheet'!E27)+('Balance Sheet'!F33-'Balance Sheet'!E33)</f>
        <v>-61.569999999999993</v>
      </c>
      <c r="G20" s="242">
        <f>('Balance Sheet'!G27-'Balance Sheet'!F27)+('Balance Sheet'!G33-'Balance Sheet'!F33)</f>
        <v>-22</v>
      </c>
      <c r="H20" s="242">
        <f>('Balance Sheet'!H27-'Balance Sheet'!G27)+('Balance Sheet'!H33-'Balance Sheet'!G33)</f>
        <v>-21</v>
      </c>
      <c r="I20" s="239">
        <f>('Balance Sheet'!I27-'Balance Sheet'!H27)+('Balance Sheet'!I33-'Balance Sheet'!H33)</f>
        <v>-21</v>
      </c>
      <c r="J20" s="239">
        <f>('Balance Sheet'!J27-'Balance Sheet'!I27)+('Balance Sheet'!J33-'Balance Sheet'!I33)</f>
        <v>-21</v>
      </c>
      <c r="K20" s="239">
        <f>('Balance Sheet'!K27-'Balance Sheet'!J27)+('Balance Sheet'!K33-'Balance Sheet'!J33)</f>
        <v>-13</v>
      </c>
      <c r="L20" s="239">
        <f>('Balance Sheet'!L27-'Balance Sheet'!K27)+('Balance Sheet'!L33-'Balance Sheet'!K33)</f>
        <v>-12</v>
      </c>
      <c r="M20" s="239">
        <f>('Balance Sheet'!M27-'Balance Sheet'!L27)+('Balance Sheet'!M33-'Balance Sheet'!L33)</f>
        <v>-7</v>
      </c>
      <c r="N20" s="239">
        <f>('Balance Sheet'!N27-'Balance Sheet'!M27)+('Balance Sheet'!N33-'Balance Sheet'!M33)</f>
        <v>-7</v>
      </c>
      <c r="O20" s="239">
        <f>('Balance Sheet'!O27-'Balance Sheet'!N27)+('Balance Sheet'!O33-'Balance Sheet'!N33)</f>
        <v>-7</v>
      </c>
    </row>
    <row r="21" spans="1:15" x14ac:dyDescent="0.3">
      <c r="A21" s="186" t="s">
        <v>172</v>
      </c>
      <c r="B21" s="186">
        <v>0</v>
      </c>
      <c r="C21" s="186">
        <v>0</v>
      </c>
      <c r="D21" s="186">
        <v>334.67</v>
      </c>
      <c r="E21" s="186">
        <v>0</v>
      </c>
      <c r="F21" s="186">
        <v>0</v>
      </c>
      <c r="G21" s="186">
        <v>0</v>
      </c>
      <c r="H21" s="186">
        <v>0</v>
      </c>
      <c r="I21" s="186">
        <v>0</v>
      </c>
      <c r="J21" s="186">
        <v>0</v>
      </c>
      <c r="K21" s="186">
        <v>0</v>
      </c>
      <c r="L21" s="186">
        <v>0</v>
      </c>
      <c r="M21" s="186">
        <v>0</v>
      </c>
      <c r="N21" s="186">
        <v>0</v>
      </c>
      <c r="O21" s="186">
        <v>0</v>
      </c>
    </row>
    <row r="22" spans="1:15" x14ac:dyDescent="0.3">
      <c r="A22" s="185" t="s">
        <v>173</v>
      </c>
      <c r="B22" s="199">
        <f>-'Income Statement'!B30*Assumptions!B90</f>
        <v>-1.6882212000000012</v>
      </c>
      <c r="C22" s="199">
        <f>-'Income Statement'!C30*Assumptions!B90</f>
        <v>-9.7269000400000021</v>
      </c>
      <c r="D22" s="199">
        <f>-'Income Statement'!D30*Assumptions!B90</f>
        <v>-15.00933720000001</v>
      </c>
      <c r="E22" s="199">
        <f>-'Income Statement'!E30*Assumptions!B90</f>
        <v>-20.073223890000016</v>
      </c>
      <c r="F22" s="199">
        <f>-'Income Statement'!F30*Assumptions!B90</f>
        <v>-23.204782666580009</v>
      </c>
      <c r="G22" s="199">
        <f>-'Income Statement'!G30*Assumptions!B90</f>
        <v>-29.625037152651654</v>
      </c>
      <c r="H22" s="199">
        <f>-'Income Statement'!H30*Assumptions!B90</f>
        <v>-38.827217922557203</v>
      </c>
      <c r="I22" s="199">
        <f>-'Income Statement'!I30*Assumptions!B90</f>
        <v>-48.81476297783329</v>
      </c>
      <c r="J22" s="199">
        <f>-'Income Statement'!J30*Assumptions!B90</f>
        <v>-60.999783185410749</v>
      </c>
      <c r="K22" s="199">
        <f>-'Income Statement'!K30*Assumptions!$B$90</f>
        <v>-73.728197506939281</v>
      </c>
      <c r="L22" s="199">
        <f>-'Income Statement'!L30*Assumptions!$B$90</f>
        <v>-89.193366176801462</v>
      </c>
      <c r="M22" s="199">
        <f>-'Income Statement'!M30*Assumptions!$B$90</f>
        <v>-105.11030268680902</v>
      </c>
      <c r="N22" s="199">
        <f>-'Income Statement'!N30*Assumptions!$B$90</f>
        <v>-123.44236890981</v>
      </c>
      <c r="O22" s="199">
        <f>-'Income Statement'!O30*Assumptions!$B$90</f>
        <v>-141.32705374880163</v>
      </c>
    </row>
    <row r="23" spans="1:15" x14ac:dyDescent="0.3">
      <c r="A23" s="240" t="s">
        <v>174</v>
      </c>
      <c r="B23" s="243">
        <f t="shared" ref="B23:J23" si="4">B20+B21+B22</f>
        <v>-30.598221200000001</v>
      </c>
      <c r="C23" s="243">
        <f t="shared" si="4"/>
        <v>-12.406900040000002</v>
      </c>
      <c r="D23" s="243">
        <f t="shared" si="4"/>
        <v>291.53066280000002</v>
      </c>
      <c r="E23" s="243">
        <f t="shared" si="4"/>
        <v>-44.653223890000014</v>
      </c>
      <c r="F23" s="243">
        <f t="shared" si="4"/>
        <v>-84.774782666579995</v>
      </c>
      <c r="G23" s="243">
        <f t="shared" si="4"/>
        <v>-51.625037152651657</v>
      </c>
      <c r="H23" s="243">
        <f t="shared" si="4"/>
        <v>-59.827217922557203</v>
      </c>
      <c r="I23" s="243">
        <f t="shared" si="4"/>
        <v>-69.814762977833283</v>
      </c>
      <c r="J23" s="243">
        <f t="shared" si="4"/>
        <v>-81.999783185410749</v>
      </c>
      <c r="K23" s="243">
        <f t="shared" ref="K23:O23" si="5">K20+K21+K22</f>
        <v>-86.728197506939281</v>
      </c>
      <c r="L23" s="243">
        <f t="shared" si="5"/>
        <v>-101.19336617680146</v>
      </c>
      <c r="M23" s="243">
        <f t="shared" si="5"/>
        <v>-112.11030268680902</v>
      </c>
      <c r="N23" s="243">
        <f t="shared" si="5"/>
        <v>-130.44236890981</v>
      </c>
      <c r="O23" s="243">
        <f t="shared" si="5"/>
        <v>-148.32705374880163</v>
      </c>
    </row>
    <row r="24" spans="1:15" x14ac:dyDescent="0.3">
      <c r="A24" s="185"/>
      <c r="B24" s="185"/>
      <c r="C24" s="185"/>
      <c r="D24" s="185"/>
      <c r="E24" s="185"/>
      <c r="F24" s="185"/>
      <c r="G24" s="185"/>
      <c r="H24" s="185"/>
      <c r="I24" s="185"/>
      <c r="J24" s="185"/>
      <c r="K24" s="185"/>
      <c r="L24" s="185"/>
      <c r="M24" s="185"/>
      <c r="N24" s="185"/>
      <c r="O24" s="185"/>
    </row>
    <row r="25" spans="1:15" x14ac:dyDescent="0.3">
      <c r="A25" s="244" t="s">
        <v>175</v>
      </c>
      <c r="B25" s="245">
        <f t="shared" ref="B25:J25" si="6">B12+B17+B23</f>
        <v>-13.398421199999991</v>
      </c>
      <c r="C25" s="245">
        <f t="shared" si="6"/>
        <v>25.050759960000029</v>
      </c>
      <c r="D25" s="245">
        <f t="shared" si="6"/>
        <v>16.514462800000047</v>
      </c>
      <c r="E25" s="245">
        <f t="shared" si="6"/>
        <v>-0.88828888999986333</v>
      </c>
      <c r="F25" s="245">
        <f t="shared" si="6"/>
        <v>-37.581348622607493</v>
      </c>
      <c r="G25" s="245">
        <f t="shared" si="6"/>
        <v>38.519325414106902</v>
      </c>
      <c r="H25" s="245">
        <f t="shared" si="6"/>
        <v>248.76779288182436</v>
      </c>
      <c r="I25" s="245">
        <f t="shared" si="6"/>
        <v>379.68811614062759</v>
      </c>
      <c r="J25" s="245">
        <f t="shared" si="6"/>
        <v>542.25981981766711</v>
      </c>
      <c r="K25" s="245">
        <f t="shared" ref="K25:O25" si="7">K12+K17+K23</f>
        <v>692.89045276393085</v>
      </c>
      <c r="L25" s="245">
        <f t="shared" si="7"/>
        <v>873.00303190740442</v>
      </c>
      <c r="M25" s="245">
        <f t="shared" si="7"/>
        <v>1056.6313377010019</v>
      </c>
      <c r="N25" s="245">
        <f t="shared" si="7"/>
        <v>1259.2680395631751</v>
      </c>
      <c r="O25" s="245">
        <f t="shared" si="7"/>
        <v>1444.5785839390273</v>
      </c>
    </row>
    <row r="26" spans="1:15" x14ac:dyDescent="0.3">
      <c r="A26" s="185"/>
      <c r="B26" s="185"/>
      <c r="C26" s="185"/>
      <c r="D26" s="185"/>
      <c r="E26" s="185"/>
      <c r="F26" s="185"/>
      <c r="G26" s="185"/>
      <c r="H26" s="185"/>
      <c r="I26" s="185"/>
      <c r="J26" s="185"/>
      <c r="K26" s="185"/>
      <c r="L26" s="185"/>
      <c r="M26" s="185"/>
      <c r="N26" s="185"/>
      <c r="O26" s="185"/>
    </row>
    <row r="27" spans="1:15" ht="22.05" customHeight="1" x14ac:dyDescent="0.3">
      <c r="A27" s="230" t="s">
        <v>176</v>
      </c>
      <c r="B27" s="230"/>
      <c r="C27" s="230"/>
      <c r="D27" s="230"/>
      <c r="E27" s="230"/>
      <c r="F27" s="230"/>
      <c r="G27" s="230"/>
      <c r="H27" s="230"/>
      <c r="I27" s="230"/>
      <c r="J27" s="230"/>
      <c r="K27" s="230"/>
      <c r="L27" s="230"/>
      <c r="M27" s="230"/>
      <c r="N27" s="230"/>
      <c r="O27" s="230"/>
    </row>
    <row r="28" spans="1:15" x14ac:dyDescent="0.3">
      <c r="A28" s="251" t="s">
        <v>177</v>
      </c>
      <c r="B28" s="185"/>
      <c r="C28" s="185"/>
      <c r="D28" s="185"/>
      <c r="E28" s="185"/>
      <c r="F28" s="185"/>
      <c r="G28" s="185"/>
      <c r="H28" s="185"/>
      <c r="I28" s="185"/>
      <c r="J28" s="185"/>
      <c r="K28" s="185"/>
      <c r="L28" s="185"/>
      <c r="M28" s="185"/>
      <c r="N28" s="185"/>
      <c r="O28" s="185"/>
    </row>
    <row r="29" spans="1:15" x14ac:dyDescent="0.3">
      <c r="A29" s="186" t="s">
        <v>178</v>
      </c>
      <c r="B29" s="186">
        <f>'Income Statement'!B18*(1-Assumptions!B18)</f>
        <v>23.643000000000018</v>
      </c>
      <c r="C29" s="186">
        <f>'Income Statement'!C18*(1-Assumptions!C18)</f>
        <v>108.88616000000003</v>
      </c>
      <c r="D29" s="186">
        <f>'Income Statement'!D18*(1-Assumptions!D18)</f>
        <v>164.87715600000007</v>
      </c>
      <c r="E29" s="186">
        <f>'Income Statement'!E18*(1-Assumptions!E18)</f>
        <v>207.91651500000009</v>
      </c>
      <c r="F29" s="238">
        <f>'Income Statement'!F18*(1-Assumptions!F18)</f>
        <v>245.36939007000009</v>
      </c>
      <c r="G29" s="238">
        <f>'Income Statement'!G18*(1-Assumptions!G18)</f>
        <v>312.17996970906012</v>
      </c>
      <c r="H29" s="238">
        <f>'Income Statement'!H18*(1-Assumptions!H18)</f>
        <v>407.09550981443834</v>
      </c>
      <c r="I29" s="238">
        <f>'Income Statement'!I18*(1-Assumptions!I18)</f>
        <v>511.11098912588602</v>
      </c>
      <c r="J29" s="238">
        <f>'Income Statement'!J18*(1-Assumptions!J18)</f>
        <v>638.50386367458236</v>
      </c>
      <c r="K29" s="238">
        <f>'Income Statement'!K18*(1-Assumptions!K18)</f>
        <v>771.67752666956687</v>
      </c>
      <c r="L29" s="238">
        <f>'Income Statement'!L18*(1-Assumptions!L18)</f>
        <v>933.96559762554739</v>
      </c>
      <c r="M29" s="238">
        <f>'Income Statement'!M18*(1-Assumptions!M18)</f>
        <v>1101.8047094341384</v>
      </c>
      <c r="N29" s="238">
        <f>'Income Statement'!N18*(1-Assumptions!N18)</f>
        <v>1294.5916905298934</v>
      </c>
      <c r="O29" s="238">
        <f>'Income Statement'!O18*(1-Assumptions!O18)</f>
        <v>1483.3642952000173</v>
      </c>
    </row>
    <row r="30" spans="1:15" x14ac:dyDescent="0.3">
      <c r="A30" s="185" t="s">
        <v>179</v>
      </c>
      <c r="B30" s="185">
        <f t="shared" ref="B30:J30" si="8">B6</f>
        <v>38.04</v>
      </c>
      <c r="C30" s="185">
        <f t="shared" si="8"/>
        <v>40.67</v>
      </c>
      <c r="D30" s="246">
        <f t="shared" si="8"/>
        <v>51.24</v>
      </c>
      <c r="E30" s="185">
        <f t="shared" si="8"/>
        <v>69.180000000000007</v>
      </c>
      <c r="F30" s="199">
        <f t="shared" si="8"/>
        <v>82.338721500000005</v>
      </c>
      <c r="G30" s="199">
        <f t="shared" si="8"/>
        <v>109.06351796400006</v>
      </c>
      <c r="H30" s="199">
        <f t="shared" si="8"/>
        <v>127.96307759013008</v>
      </c>
      <c r="I30" s="199">
        <f t="shared" si="8"/>
        <v>148.78301616019976</v>
      </c>
      <c r="J30" s="199">
        <f t="shared" si="8"/>
        <v>171.41043320123023</v>
      </c>
      <c r="K30" s="199">
        <f t="shared" ref="K30:O30" si="9">K6</f>
        <v>195.65276589683288</v>
      </c>
      <c r="L30" s="199">
        <f t="shared" si="9"/>
        <v>221.23148779128644</v>
      </c>
      <c r="M30" s="199">
        <f t="shared" si="9"/>
        <v>247.77926632624073</v>
      </c>
      <c r="N30" s="199">
        <f t="shared" si="9"/>
        <v>274.84140807031002</v>
      </c>
      <c r="O30" s="199">
        <f t="shared" si="9"/>
        <v>303.21213406466455</v>
      </c>
    </row>
    <row r="31" spans="1:15" x14ac:dyDescent="0.3">
      <c r="A31" s="186" t="s">
        <v>180</v>
      </c>
      <c r="B31" s="186">
        <f t="shared" ref="B31:J31" si="10">B15</f>
        <v>-30</v>
      </c>
      <c r="C31" s="186">
        <f t="shared" si="10"/>
        <v>-50</v>
      </c>
      <c r="D31" s="186">
        <f t="shared" si="10"/>
        <v>-152.81</v>
      </c>
      <c r="E31" s="247">
        <f t="shared" si="10"/>
        <v>-210.02</v>
      </c>
      <c r="F31" s="186">
        <f t="shared" si="10"/>
        <v>-250</v>
      </c>
      <c r="G31" s="186">
        <f t="shared" si="10"/>
        <v>-240</v>
      </c>
      <c r="H31" s="186">
        <f t="shared" si="10"/>
        <v>-150</v>
      </c>
      <c r="I31" s="186">
        <f t="shared" si="10"/>
        <v>-130</v>
      </c>
      <c r="J31" s="186">
        <f t="shared" si="10"/>
        <v>-100</v>
      </c>
      <c r="K31" s="186">
        <f t="shared" ref="K31:O31" si="11">K15</f>
        <v>-100</v>
      </c>
      <c r="L31" s="186">
        <f t="shared" si="11"/>
        <v>-90</v>
      </c>
      <c r="M31" s="186">
        <f t="shared" si="11"/>
        <v>-90</v>
      </c>
      <c r="N31" s="186">
        <f t="shared" si="11"/>
        <v>-90</v>
      </c>
      <c r="O31" s="186">
        <f t="shared" si="11"/>
        <v>-90</v>
      </c>
    </row>
    <row r="32" spans="1:15" x14ac:dyDescent="0.3">
      <c r="A32" s="185" t="s">
        <v>181</v>
      </c>
      <c r="B32" s="185">
        <f t="shared" ref="B32:J32" si="12">B7+B8+B9</f>
        <v>-10</v>
      </c>
      <c r="C32" s="185">
        <f t="shared" si="12"/>
        <v>-5</v>
      </c>
      <c r="D32" s="185">
        <f t="shared" si="12"/>
        <v>61.44</v>
      </c>
      <c r="E32" s="246">
        <f t="shared" si="12"/>
        <v>-118.69000000000001</v>
      </c>
      <c r="F32" s="199">
        <f t="shared" si="12"/>
        <v>-83.774677526027446</v>
      </c>
      <c r="G32" s="199">
        <f t="shared" si="12"/>
        <v>-97.079125106301547</v>
      </c>
      <c r="H32" s="199">
        <f t="shared" si="12"/>
        <v>-84.423576600186749</v>
      </c>
      <c r="I32" s="199">
        <f t="shared" si="12"/>
        <v>-91.586126167624826</v>
      </c>
      <c r="J32" s="199">
        <f t="shared" si="12"/>
        <v>-98.084693872734874</v>
      </c>
      <c r="K32" s="199">
        <f t="shared" ref="K32:O32" si="13">K7+K8+K9</f>
        <v>-102.37664229552956</v>
      </c>
      <c r="L32" s="199">
        <f t="shared" si="13"/>
        <v>-107.90068733262882</v>
      </c>
      <c r="M32" s="199">
        <f t="shared" si="13"/>
        <v>-109.23233537256806</v>
      </c>
      <c r="N32" s="199">
        <f t="shared" si="13"/>
        <v>-110.34769012721745</v>
      </c>
      <c r="O32" s="199">
        <f t="shared" si="13"/>
        <v>-125.78579157685351</v>
      </c>
    </row>
    <row r="33" spans="1:15" x14ac:dyDescent="0.3">
      <c r="A33" s="208"/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</row>
    <row r="34" spans="1:15" ht="15" thickBot="1" x14ac:dyDescent="0.35">
      <c r="A34" s="249" t="s">
        <v>182</v>
      </c>
      <c r="B34" s="249">
        <f t="shared" ref="B34:J34" si="14">B29+B30+B31+B32</f>
        <v>21.683000000000021</v>
      </c>
      <c r="C34" s="249">
        <f t="shared" si="14"/>
        <v>94.556160000000034</v>
      </c>
      <c r="D34" s="249">
        <f t="shared" si="14"/>
        <v>124.74715600000007</v>
      </c>
      <c r="E34" s="249">
        <f t="shared" si="14"/>
        <v>-51.613484999999955</v>
      </c>
      <c r="F34" s="250">
        <f t="shared" si="14"/>
        <v>-6.066565956027361</v>
      </c>
      <c r="G34" s="250">
        <f t="shared" si="14"/>
        <v>84.164362566758598</v>
      </c>
      <c r="H34" s="250">
        <f t="shared" si="14"/>
        <v>300.63501080438175</v>
      </c>
      <c r="I34" s="250">
        <f t="shared" si="14"/>
        <v>438.30787911846096</v>
      </c>
      <c r="J34" s="250">
        <f t="shared" si="14"/>
        <v>611.82960300307775</v>
      </c>
      <c r="K34" s="250">
        <f t="shared" ref="K34:O34" si="15">K29+K30+K31+K32</f>
        <v>764.95365027087018</v>
      </c>
      <c r="L34" s="250">
        <f t="shared" si="15"/>
        <v>957.29639808420507</v>
      </c>
      <c r="M34" s="250">
        <f t="shared" si="15"/>
        <v>1150.3516403878111</v>
      </c>
      <c r="N34" s="250">
        <f t="shared" si="15"/>
        <v>1369.085408472986</v>
      </c>
      <c r="O34" s="250">
        <f t="shared" si="15"/>
        <v>1570.7906376878282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A0190-158A-4C5F-AC2B-EAD8DCB4CFF1}">
  <sheetPr>
    <tabColor rgb="FF1B3A5C"/>
  </sheetPr>
  <dimension ref="A1:O33"/>
  <sheetViews>
    <sheetView showGridLines="0" workbookViewId="0">
      <pane xSplit="1" ySplit="3" topLeftCell="B5" activePane="bottomRight" state="frozen"/>
      <selection pane="topRight" activeCell="B1" sqref="B1"/>
      <selection pane="bottomLeft" activeCell="A4" sqref="A4"/>
      <selection pane="bottomRight"/>
    </sheetView>
  </sheetViews>
  <sheetFormatPr defaultRowHeight="14.4" x14ac:dyDescent="0.3"/>
  <cols>
    <col min="1" max="1" width="46.33203125" customWidth="1"/>
    <col min="2" max="10" width="18.5546875" customWidth="1"/>
    <col min="11" max="11" width="17.21875" customWidth="1"/>
    <col min="12" max="12" width="17" customWidth="1"/>
    <col min="13" max="13" width="17.21875" customWidth="1"/>
    <col min="14" max="14" width="17.44140625" customWidth="1"/>
    <col min="15" max="15" width="17.109375" customWidth="1"/>
  </cols>
  <sheetData>
    <row r="1" spans="1:15" ht="28.05" customHeight="1" x14ac:dyDescent="0.35">
      <c r="A1" s="176" t="s">
        <v>415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</row>
    <row r="2" spans="1:15" x14ac:dyDescent="0.3">
      <c r="A2" s="305" t="s">
        <v>102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</row>
    <row r="3" spans="1:15" x14ac:dyDescent="0.3">
      <c r="A3" s="166"/>
      <c r="B3" s="178" t="s">
        <v>45</v>
      </c>
      <c r="C3" s="178" t="s">
        <v>46</v>
      </c>
      <c r="D3" s="178" t="s">
        <v>47</v>
      </c>
      <c r="E3" s="178" t="s">
        <v>48</v>
      </c>
      <c r="F3" s="178" t="s">
        <v>49</v>
      </c>
      <c r="G3" s="178" t="s">
        <v>50</v>
      </c>
      <c r="H3" s="178" t="s">
        <v>51</v>
      </c>
      <c r="I3" s="178" t="s">
        <v>52</v>
      </c>
      <c r="J3" s="178" t="s">
        <v>53</v>
      </c>
      <c r="K3" s="178" t="s">
        <v>486</v>
      </c>
      <c r="L3" s="178" t="s">
        <v>487</v>
      </c>
      <c r="M3" s="178" t="s">
        <v>488</v>
      </c>
      <c r="N3" s="178" t="s">
        <v>489</v>
      </c>
      <c r="O3" s="178" t="s">
        <v>490</v>
      </c>
    </row>
    <row r="5" spans="1:15" ht="22.05" customHeight="1" x14ac:dyDescent="0.3">
      <c r="A5" s="40" t="s">
        <v>416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</row>
    <row r="6" spans="1:15" x14ac:dyDescent="0.3">
      <c r="A6" s="217" t="s">
        <v>417</v>
      </c>
      <c r="B6" s="218">
        <f>IF('Balance Sheet'!B13&gt;0,'Balance Sheet'!B13/'Income Statement'!B4*365,0)</f>
        <v>44.680851063829785</v>
      </c>
      <c r="C6" s="218">
        <f>IF('Balance Sheet'!C13&gt;0,'Balance Sheet'!C13/'Income Statement'!C4*365,0)</f>
        <v>41.864360626789555</v>
      </c>
      <c r="D6" s="218">
        <f>IF('Balance Sheet'!D13&gt;0,'Balance Sheet'!D13/'Income Statement'!D4*365,0)</f>
        <v>15.351399352043405</v>
      </c>
      <c r="E6" s="218">
        <f>IF('Balance Sheet'!E13&gt;0,'Balance Sheet'!E13/'Income Statement'!E4*365,0)</f>
        <v>25.633185718094975</v>
      </c>
      <c r="F6" s="310">
        <f>Assumptions!F21</f>
        <v>28</v>
      </c>
      <c r="G6" s="310">
        <f>Assumptions!G21</f>
        <v>30</v>
      </c>
      <c r="H6" s="310">
        <f>Assumptions!H21</f>
        <v>30</v>
      </c>
      <c r="I6" s="310">
        <f>Assumptions!I21</f>
        <v>30</v>
      </c>
      <c r="J6" s="310">
        <f>Assumptions!J21</f>
        <v>30</v>
      </c>
      <c r="K6" s="310">
        <f>Assumptions!K21</f>
        <v>30</v>
      </c>
      <c r="L6" s="310">
        <f>Assumptions!L21</f>
        <v>30</v>
      </c>
      <c r="M6" s="310">
        <f>Assumptions!M21</f>
        <v>30</v>
      </c>
      <c r="N6" s="310">
        <f>Assumptions!N21</f>
        <v>30</v>
      </c>
      <c r="O6" s="310">
        <f>Assumptions!O21</f>
        <v>30</v>
      </c>
    </row>
    <row r="7" spans="1:15" x14ac:dyDescent="0.3">
      <c r="A7" s="186" t="s">
        <v>458</v>
      </c>
      <c r="B7" s="238">
        <f>IF('Income Statement'!B4&gt;0,'Balance Sheet'!B12/'Income Statement'!B4*365,0)</f>
        <v>89.361702127659569</v>
      </c>
      <c r="C7" s="238">
        <f>IF('Income Statement'!C4&gt;0,'Balance Sheet'!C12/'Income Statement'!C4*365,0)</f>
        <v>84.933451055788879</v>
      </c>
      <c r="D7" s="238">
        <f>IF('Income Statement'!D4&gt;0,'Balance Sheet'!D12/'Income Statement'!D4*365,0)</f>
        <v>53.450889313920655</v>
      </c>
      <c r="E7" s="238">
        <f>IF('Income Statement'!E4&gt;0,'Balance Sheet'!E12/'Income Statement'!E4*365,0)</f>
        <v>56.113623649111439</v>
      </c>
      <c r="F7" s="311">
        <f>Assumptions!F22</f>
        <v>56</v>
      </c>
      <c r="G7" s="311">
        <f>Assumptions!G22</f>
        <v>56</v>
      </c>
      <c r="H7" s="311">
        <f>Assumptions!H22</f>
        <v>55</v>
      </c>
      <c r="I7" s="311">
        <f>Assumptions!I22</f>
        <v>54</v>
      </c>
      <c r="J7" s="311">
        <f>Assumptions!J22</f>
        <v>53</v>
      </c>
      <c r="K7" s="311">
        <f>Assumptions!K22</f>
        <v>52</v>
      </c>
      <c r="L7" s="311">
        <f>Assumptions!L22</f>
        <v>51</v>
      </c>
      <c r="M7" s="311">
        <f>Assumptions!M22</f>
        <v>50</v>
      </c>
      <c r="N7" s="311">
        <f>Assumptions!N22</f>
        <v>49</v>
      </c>
      <c r="O7" s="311">
        <f>Assumptions!O22</f>
        <v>48</v>
      </c>
    </row>
    <row r="8" spans="1:15" x14ac:dyDescent="0.3">
      <c r="A8" s="185" t="s">
        <v>459</v>
      </c>
      <c r="B8" s="199">
        <f>IF(ABS('Income Statement'!B7)&gt;0,'Balance Sheet'!B32/ABS('Income Statement'!B7)*365,0)</f>
        <v>72.463462025851143</v>
      </c>
      <c r="C8" s="199">
        <f>IF(ABS('Income Statement'!C7)&gt;0,'Balance Sheet'!C32/ABS('Income Statement'!C7)*365,0)</f>
        <v>74.359992824744381</v>
      </c>
      <c r="D8" s="199">
        <f>IF(ABS('Income Statement'!D7)&gt;0,'Balance Sheet'!D32/ABS('Income Statement'!D7)*365,0)</f>
        <v>36.465247829739567</v>
      </c>
      <c r="E8" s="199">
        <f>IF(ABS('Income Statement'!E7)&gt;0,'Balance Sheet'!E32/ABS('Income Statement'!E7)*365,0)</f>
        <v>36.854664075513604</v>
      </c>
      <c r="F8" s="312">
        <f>Assumptions!F23</f>
        <v>38</v>
      </c>
      <c r="G8" s="312">
        <f>Assumptions!G23</f>
        <v>40</v>
      </c>
      <c r="H8" s="312">
        <f>Assumptions!H23</f>
        <v>42</v>
      </c>
      <c r="I8" s="312">
        <f>Assumptions!I23</f>
        <v>44</v>
      </c>
      <c r="J8" s="312">
        <f>Assumptions!J23</f>
        <v>46</v>
      </c>
      <c r="K8" s="312">
        <f>Assumptions!K23</f>
        <v>48</v>
      </c>
      <c r="L8" s="312">
        <f>Assumptions!L23</f>
        <v>50</v>
      </c>
      <c r="M8" s="312">
        <f>Assumptions!M23</f>
        <v>52</v>
      </c>
      <c r="N8" s="312">
        <f>Assumptions!N23</f>
        <v>54</v>
      </c>
      <c r="O8" s="312">
        <f>Assumptions!O23</f>
        <v>55</v>
      </c>
    </row>
    <row r="9" spans="1:15" x14ac:dyDescent="0.3">
      <c r="A9" s="186"/>
      <c r="B9" s="238"/>
      <c r="C9" s="238"/>
      <c r="D9" s="238"/>
      <c r="E9" s="238"/>
      <c r="F9" s="186"/>
      <c r="G9" s="186"/>
      <c r="H9" s="186"/>
      <c r="I9" s="186"/>
      <c r="J9" s="186"/>
      <c r="K9" s="186"/>
      <c r="L9" s="186"/>
      <c r="M9" s="186"/>
      <c r="N9" s="186"/>
      <c r="O9" s="186"/>
    </row>
    <row r="10" spans="1:15" x14ac:dyDescent="0.3">
      <c r="A10" s="189" t="s">
        <v>418</v>
      </c>
      <c r="B10" s="313">
        <f t="shared" ref="B10:J10" si="0">B6+B7-B8</f>
        <v>61.579091165638218</v>
      </c>
      <c r="C10" s="313">
        <f t="shared" si="0"/>
        <v>52.43781885783406</v>
      </c>
      <c r="D10" s="313">
        <f t="shared" si="0"/>
        <v>32.337040836224489</v>
      </c>
      <c r="E10" s="313">
        <f t="shared" si="0"/>
        <v>44.892145291692806</v>
      </c>
      <c r="F10" s="189">
        <f t="shared" si="0"/>
        <v>46</v>
      </c>
      <c r="G10" s="189">
        <f t="shared" si="0"/>
        <v>46</v>
      </c>
      <c r="H10" s="189">
        <f t="shared" si="0"/>
        <v>43</v>
      </c>
      <c r="I10" s="189">
        <f t="shared" si="0"/>
        <v>40</v>
      </c>
      <c r="J10" s="189">
        <f t="shared" si="0"/>
        <v>37</v>
      </c>
      <c r="K10" s="189">
        <f t="shared" ref="K10:O10" si="1">K6+K7-K8</f>
        <v>34</v>
      </c>
      <c r="L10" s="189">
        <f t="shared" si="1"/>
        <v>31</v>
      </c>
      <c r="M10" s="189">
        <f t="shared" si="1"/>
        <v>28</v>
      </c>
      <c r="N10" s="189">
        <f t="shared" si="1"/>
        <v>25</v>
      </c>
      <c r="O10" s="189">
        <f t="shared" si="1"/>
        <v>23</v>
      </c>
    </row>
    <row r="11" spans="1:15" x14ac:dyDescent="0.3">
      <c r="A11" s="314"/>
      <c r="B11" s="314"/>
      <c r="C11" s="314"/>
      <c r="D11" s="314"/>
      <c r="E11" s="314"/>
      <c r="F11" s="314"/>
      <c r="G11" s="314"/>
      <c r="H11" s="314"/>
      <c r="I11" s="314"/>
      <c r="J11" s="314"/>
      <c r="K11" s="314"/>
      <c r="L11" s="314"/>
      <c r="M11" s="314"/>
      <c r="N11" s="314"/>
      <c r="O11" s="314"/>
    </row>
    <row r="12" spans="1:15" ht="22.05" customHeight="1" x14ac:dyDescent="0.3">
      <c r="A12" s="230" t="s">
        <v>419</v>
      </c>
      <c r="B12" s="230"/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0"/>
      <c r="N12" s="230"/>
      <c r="O12" s="230"/>
    </row>
    <row r="13" spans="1:15" x14ac:dyDescent="0.3">
      <c r="A13" s="186" t="s">
        <v>131</v>
      </c>
      <c r="B13" s="186">
        <f>'Balance Sheet'!B13</f>
        <v>84</v>
      </c>
      <c r="C13" s="186">
        <f>'Balance Sheet'!C13</f>
        <v>139</v>
      </c>
      <c r="D13" s="186">
        <f>'Balance Sheet'!D13</f>
        <v>64.650000000000006</v>
      </c>
      <c r="E13" s="186">
        <f>'Balance Sheet'!E13</f>
        <v>134.32</v>
      </c>
      <c r="F13" s="187">
        <f>F6/365*'Income Statement'!F4</f>
        <v>180.46843068493152</v>
      </c>
      <c r="G13" s="187">
        <f>G6/365*'Income Statement'!G4</f>
        <v>235.89802010958917</v>
      </c>
      <c r="H13" s="187">
        <f>H6/365*'Income Statement'!H4</f>
        <v>284.25711423205496</v>
      </c>
      <c r="I13" s="187">
        <f>I6/365*'Income Statement'!I4</f>
        <v>339.6872515073054</v>
      </c>
      <c r="J13" s="187">
        <f>J6/365*'Income Statement'!J4</f>
        <v>402.52939303615705</v>
      </c>
      <c r="K13" s="187">
        <f>K6/365*'Income Statement'!K4</f>
        <v>472.97203681748471</v>
      </c>
      <c r="L13" s="187">
        <f>L6/365*'Income Statement'!L4</f>
        <v>551.01242289236961</v>
      </c>
      <c r="M13" s="187">
        <f>M6/365*'Income Statement'!M4</f>
        <v>636.4193484406868</v>
      </c>
      <c r="N13" s="187">
        <f>N6/365*'Income Statement'!N4</f>
        <v>728.70015396458689</v>
      </c>
      <c r="O13" s="187">
        <f>O6/365*'Income Statement'!O4</f>
        <v>830.71817551962886</v>
      </c>
    </row>
    <row r="14" spans="1:15" x14ac:dyDescent="0.3">
      <c r="A14" s="185" t="s">
        <v>130</v>
      </c>
      <c r="B14" s="185">
        <f>'Balance Sheet'!B12</f>
        <v>168</v>
      </c>
      <c r="C14" s="185">
        <f>'Balance Sheet'!C12</f>
        <v>282</v>
      </c>
      <c r="D14" s="185">
        <f>'Balance Sheet'!D12</f>
        <v>225.1</v>
      </c>
      <c r="E14" s="185">
        <f>'Balance Sheet'!E12</f>
        <v>294.04000000000002</v>
      </c>
      <c r="F14" s="191">
        <f>F7/365*'Income Statement'!F4</f>
        <v>360.93686136986304</v>
      </c>
      <c r="G14" s="191">
        <f>G7/365*'Income Statement'!G4</f>
        <v>440.34297087123315</v>
      </c>
      <c r="H14" s="191">
        <f>H7/365*'Income Statement'!H4</f>
        <v>521.13804275876748</v>
      </c>
      <c r="I14" s="191">
        <f>I7/365*'Income Statement'!I4</f>
        <v>611.4370527131498</v>
      </c>
      <c r="J14" s="191">
        <f>J7/365*'Income Statement'!J4</f>
        <v>711.13526103054414</v>
      </c>
      <c r="K14" s="191">
        <f>K7/365*'Income Statement'!K4</f>
        <v>819.8181971503069</v>
      </c>
      <c r="L14" s="191">
        <f>L7/365*'Income Statement'!L4</f>
        <v>936.72111891702855</v>
      </c>
      <c r="M14" s="191">
        <f>M7/365*'Income Statement'!M4</f>
        <v>1060.6989140678113</v>
      </c>
      <c r="N14" s="191">
        <f>N7/365*'Income Statement'!N4</f>
        <v>1190.210251475492</v>
      </c>
      <c r="O14" s="191">
        <f>O7/365*'Income Statement'!O4</f>
        <v>1329.1490808314063</v>
      </c>
    </row>
    <row r="15" spans="1:15" x14ac:dyDescent="0.3">
      <c r="A15" s="186" t="s">
        <v>146</v>
      </c>
      <c r="B15" s="186">
        <f>'Balance Sheet'!B32</f>
        <v>94</v>
      </c>
      <c r="C15" s="186">
        <f>'Balance Sheet'!C32</f>
        <v>159</v>
      </c>
      <c r="D15" s="186">
        <f>'Balance Sheet'!D32</f>
        <v>89.19</v>
      </c>
      <c r="E15" s="186">
        <f>'Balance Sheet'!E32</f>
        <v>109.11</v>
      </c>
      <c r="F15" s="187">
        <f>F8/365*ABS('Income Statement'!F7)</f>
        <v>138.38061452876713</v>
      </c>
      <c r="G15" s="187">
        <f>G8/365*ABS('Income Statement'!G7)</f>
        <v>176.13718834849325</v>
      </c>
      <c r="H15" s="187">
        <f>H8/365*ABS('Income Statement'!H7)</f>
        <v>220.86777775830669</v>
      </c>
      <c r="I15" s="187">
        <f>I8/365*ABS('Income Statement'!I7)</f>
        <v>275.01079882031451</v>
      </c>
      <c r="J15" s="187">
        <f>J8/365*ABS('Income Statement'!J7)</f>
        <v>339.46645479382585</v>
      </c>
      <c r="K15" s="187">
        <f>K8/365*ABS('Income Statement'!K7)</f>
        <v>416.21539239938653</v>
      </c>
      <c r="L15" s="187">
        <f>L8/365*ABS('Income Statement'!L7)</f>
        <v>503.25801290836432</v>
      </c>
      <c r="M15" s="187">
        <f>M8/365*ABS('Income Statement'!M7)</f>
        <v>603.41039823489643</v>
      </c>
      <c r="N15" s="187">
        <f>N8/365*ABS('Income Statement'!N7)</f>
        <v>714.85485103925964</v>
      </c>
      <c r="O15" s="187">
        <f>O8/365*ABS('Income Statement'!O7)</f>
        <v>830.02591037336242</v>
      </c>
    </row>
    <row r="16" spans="1:15" x14ac:dyDescent="0.3">
      <c r="A16" s="185"/>
      <c r="B16" s="185"/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185"/>
      <c r="N16" s="185"/>
      <c r="O16" s="185"/>
    </row>
    <row r="17" spans="1:15" x14ac:dyDescent="0.3">
      <c r="A17" s="192" t="s">
        <v>420</v>
      </c>
      <c r="B17" s="192">
        <f t="shared" ref="B17:J17" si="2">B13+B14-B15</f>
        <v>158</v>
      </c>
      <c r="C17" s="192">
        <f t="shared" si="2"/>
        <v>262</v>
      </c>
      <c r="D17" s="192">
        <f t="shared" si="2"/>
        <v>200.56</v>
      </c>
      <c r="E17" s="192">
        <f t="shared" si="2"/>
        <v>319.25</v>
      </c>
      <c r="F17" s="193">
        <f t="shared" si="2"/>
        <v>403.02467752602746</v>
      </c>
      <c r="G17" s="193">
        <f t="shared" si="2"/>
        <v>500.10380263232901</v>
      </c>
      <c r="H17" s="193">
        <f t="shared" si="2"/>
        <v>584.52737923251573</v>
      </c>
      <c r="I17" s="193">
        <f t="shared" si="2"/>
        <v>676.11350540014064</v>
      </c>
      <c r="J17" s="193">
        <f t="shared" si="2"/>
        <v>774.19819927287529</v>
      </c>
      <c r="K17" s="193">
        <f t="shared" ref="K17:O17" si="3">K13+K14-K15</f>
        <v>876.57484156840519</v>
      </c>
      <c r="L17" s="193">
        <f t="shared" si="3"/>
        <v>984.47552890103373</v>
      </c>
      <c r="M17" s="193">
        <f t="shared" si="3"/>
        <v>1093.7078642736014</v>
      </c>
      <c r="N17" s="193">
        <f t="shared" si="3"/>
        <v>1204.0555544008193</v>
      </c>
      <c r="O17" s="193">
        <f t="shared" si="3"/>
        <v>1329.841345977673</v>
      </c>
    </row>
    <row r="18" spans="1:15" x14ac:dyDescent="0.3">
      <c r="A18" s="314"/>
      <c r="B18" s="314"/>
      <c r="C18" s="314"/>
      <c r="D18" s="314"/>
      <c r="E18" s="314"/>
      <c r="F18" s="315"/>
      <c r="G18" s="315"/>
      <c r="H18" s="315"/>
      <c r="I18" s="315"/>
      <c r="J18" s="315"/>
      <c r="K18" s="315"/>
      <c r="L18" s="315"/>
      <c r="M18" s="315"/>
      <c r="N18" s="315"/>
      <c r="O18" s="315"/>
    </row>
    <row r="19" spans="1:15" x14ac:dyDescent="0.3">
      <c r="A19" s="316" t="s">
        <v>421</v>
      </c>
      <c r="B19" s="316">
        <v>0</v>
      </c>
      <c r="C19" s="316">
        <f t="shared" ref="C19:J19" si="4">C17-B17</f>
        <v>104</v>
      </c>
      <c r="D19" s="316">
        <f t="shared" si="4"/>
        <v>-61.44</v>
      </c>
      <c r="E19" s="316">
        <f t="shared" si="4"/>
        <v>118.69</v>
      </c>
      <c r="F19" s="317">
        <f t="shared" si="4"/>
        <v>83.77467752602746</v>
      </c>
      <c r="G19" s="317">
        <f t="shared" si="4"/>
        <v>97.079125106301547</v>
      </c>
      <c r="H19" s="317">
        <f t="shared" si="4"/>
        <v>84.42357660018672</v>
      </c>
      <c r="I19" s="317">
        <f t="shared" si="4"/>
        <v>91.586126167624911</v>
      </c>
      <c r="J19" s="317">
        <f t="shared" si="4"/>
        <v>98.084693872734647</v>
      </c>
      <c r="K19" s="317">
        <f t="shared" ref="K19" si="5">K17-J17</f>
        <v>102.3766422955299</v>
      </c>
      <c r="L19" s="317">
        <f t="shared" ref="L19" si="6">L17-K17</f>
        <v>107.90068733262854</v>
      </c>
      <c r="M19" s="317">
        <f t="shared" ref="M19" si="7">M17-L17</f>
        <v>109.23233537256772</v>
      </c>
      <c r="N19" s="317">
        <f t="shared" ref="N19" si="8">N17-M17</f>
        <v>110.3476901272179</v>
      </c>
      <c r="O19" s="317">
        <f t="shared" ref="O19" si="9">O17-N17</f>
        <v>125.78579157685363</v>
      </c>
    </row>
    <row r="21" spans="1:15" ht="22.05" customHeight="1" x14ac:dyDescent="0.3">
      <c r="A21" s="40" t="s">
        <v>422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</row>
    <row r="22" spans="1:15" x14ac:dyDescent="0.3">
      <c r="A22" s="39" t="s">
        <v>423</v>
      </c>
      <c r="B22" s="309">
        <f>B13/'Income Statement'!B4</f>
        <v>0.12241329058583503</v>
      </c>
      <c r="C22" s="309">
        <f>C13/'Income Statement'!C4</f>
        <v>0.11469687842956043</v>
      </c>
      <c r="D22" s="309">
        <f>D13/'Income Statement'!D4</f>
        <v>4.2058628361762752E-2</v>
      </c>
      <c r="E22" s="309">
        <f>E13/'Income Statement'!E4</f>
        <v>7.0227906076972532E-2</v>
      </c>
      <c r="F22" s="309">
        <f>F13/'Income Statement'!F4</f>
        <v>7.6712328767123292E-2</v>
      </c>
      <c r="G22" s="309">
        <f>G13/'Income Statement'!G4</f>
        <v>8.2191780821917804E-2</v>
      </c>
      <c r="H22" s="309">
        <f>H13/'Income Statement'!H4</f>
        <v>8.2191780821917804E-2</v>
      </c>
      <c r="I22" s="309">
        <f>I13/'Income Statement'!I4</f>
        <v>8.2191780821917804E-2</v>
      </c>
      <c r="J22" s="309">
        <f>J13/'Income Statement'!J4</f>
        <v>8.2191780821917804E-2</v>
      </c>
      <c r="K22" s="309">
        <f>K13/'Income Statement'!K4</f>
        <v>8.2191780821917804E-2</v>
      </c>
      <c r="L22" s="309">
        <f>L13/'Income Statement'!L4</f>
        <v>8.2191780821917804E-2</v>
      </c>
      <c r="M22" s="309">
        <f>M13/'Income Statement'!M4</f>
        <v>8.2191780821917804E-2</v>
      </c>
      <c r="N22" s="309">
        <f>N13/'Income Statement'!N4</f>
        <v>8.2191780821917804E-2</v>
      </c>
      <c r="O22" s="309">
        <f>O13/'Income Statement'!O4</f>
        <v>8.2191780821917804E-2</v>
      </c>
    </row>
    <row r="23" spans="1:15" x14ac:dyDescent="0.3">
      <c r="A23" s="44" t="s">
        <v>424</v>
      </c>
      <c r="B23" s="228">
        <f>B14/'Income Statement'!B4</f>
        <v>0.24482658117167005</v>
      </c>
      <c r="C23" s="228">
        <f>C14/'Income Statement'!C4</f>
        <v>0.23269438645421611</v>
      </c>
      <c r="D23" s="228">
        <f>D14/'Income Statement'!D4</f>
        <v>0.1464407926408785</v>
      </c>
      <c r="E23" s="228">
        <f>E14/'Income Statement'!E4</f>
        <v>0.15373595520304503</v>
      </c>
      <c r="F23" s="228">
        <f>F14/'Income Statement'!F4</f>
        <v>0.15342465753424658</v>
      </c>
      <c r="G23" s="228">
        <f>G14/'Income Statement'!G4</f>
        <v>0.15342465753424658</v>
      </c>
      <c r="H23" s="228">
        <f>H14/'Income Statement'!H4</f>
        <v>0.15068493150684931</v>
      </c>
      <c r="I23" s="228">
        <f>I14/'Income Statement'!I4</f>
        <v>0.14794520547945206</v>
      </c>
      <c r="J23" s="228">
        <f>J14/'Income Statement'!J4</f>
        <v>0.14520547945205478</v>
      </c>
      <c r="K23" s="228">
        <f>K14/'Income Statement'!K4</f>
        <v>0.14246575342465753</v>
      </c>
      <c r="L23" s="228">
        <f>L14/'Income Statement'!L4</f>
        <v>0.13972602739726028</v>
      </c>
      <c r="M23" s="228">
        <f>M14/'Income Statement'!M4</f>
        <v>0.13698630136986301</v>
      </c>
      <c r="N23" s="228">
        <f>N14/'Income Statement'!N4</f>
        <v>0.13424657534246576</v>
      </c>
      <c r="O23" s="228">
        <f>O14/'Income Statement'!O4</f>
        <v>0.13150684931506848</v>
      </c>
    </row>
    <row r="24" spans="1:15" x14ac:dyDescent="0.3">
      <c r="A24" s="39" t="s">
        <v>425</v>
      </c>
      <c r="B24" s="309">
        <f>B15/'Income Statement'!B4</f>
        <v>0.13698630136986301</v>
      </c>
      <c r="C24" s="309">
        <f>C15/'Income Statement'!C4</f>
        <v>0.13120002640503675</v>
      </c>
      <c r="D24" s="309">
        <f>D15/'Income Statement'!D4</f>
        <v>5.8023342050821651E-2</v>
      </c>
      <c r="E24" s="309">
        <f>E15/'Income Statement'!E4</f>
        <v>5.7047102680602098E-2</v>
      </c>
      <c r="F24" s="309">
        <f>F15/'Income Statement'!F4</f>
        <v>5.8821917808219173E-2</v>
      </c>
      <c r="G24" s="309">
        <f>G15/'Income Statement'!G4</f>
        <v>6.1369863013698629E-2</v>
      </c>
      <c r="H24" s="309">
        <f>H15/'Income Statement'!H4</f>
        <v>6.3863013698630122E-2</v>
      </c>
      <c r="I24" s="309">
        <f>I15/'Income Statement'!I4</f>
        <v>6.6542465753424665E-2</v>
      </c>
      <c r="J24" s="309">
        <f>J15/'Income Statement'!J4</f>
        <v>6.9315068493150694E-2</v>
      </c>
      <c r="K24" s="309">
        <f>K15/'Income Statement'!K4</f>
        <v>7.232876712328766E-2</v>
      </c>
      <c r="L24" s="309">
        <f>L15/'Income Statement'!L4</f>
        <v>7.5068493150684937E-2</v>
      </c>
      <c r="M24" s="309">
        <f>M15/'Income Statement'!M4</f>
        <v>7.7928767123287654E-2</v>
      </c>
      <c r="N24" s="309">
        <f>N15/'Income Statement'!N4</f>
        <v>8.0630136986301351E-2</v>
      </c>
      <c r="O24" s="309">
        <f>O15/'Income Statement'!O4</f>
        <v>8.2123287671232864E-2</v>
      </c>
    </row>
    <row r="25" spans="1:15" x14ac:dyDescent="0.3">
      <c r="A25" s="44" t="s">
        <v>426</v>
      </c>
      <c r="B25" s="228">
        <f>B17/'Income Statement'!B4</f>
        <v>0.23025357038764208</v>
      </c>
      <c r="C25" s="228">
        <f>C17/'Income Statement'!C4</f>
        <v>0.21619123847873981</v>
      </c>
      <c r="D25" s="228">
        <f>D17/'Income Statement'!D4</f>
        <v>0.13047607895181962</v>
      </c>
      <c r="E25" s="228">
        <f>E17/'Income Statement'!E4</f>
        <v>0.16691675859941546</v>
      </c>
      <c r="F25" s="228">
        <f>F17/'Income Statement'!F4</f>
        <v>0.1713150684931507</v>
      </c>
      <c r="G25" s="228">
        <f>G17/'Income Statement'!G4</f>
        <v>0.17424657534246574</v>
      </c>
      <c r="H25" s="228">
        <f>H17/'Income Statement'!H4</f>
        <v>0.16901369863013699</v>
      </c>
      <c r="I25" s="228">
        <f>I17/'Income Statement'!I4</f>
        <v>0.16359452054794518</v>
      </c>
      <c r="J25" s="228">
        <f>J17/'Income Statement'!J4</f>
        <v>0.15808219178082189</v>
      </c>
      <c r="K25" s="228">
        <f>K17/'Income Statement'!K4</f>
        <v>0.15232876712328769</v>
      </c>
      <c r="L25" s="228">
        <f>L17/'Income Statement'!L4</f>
        <v>0.14684931506849314</v>
      </c>
      <c r="M25" s="228">
        <f>M17/'Income Statement'!M4</f>
        <v>0.14124931506849311</v>
      </c>
      <c r="N25" s="228">
        <f>N17/'Income Statement'!N4</f>
        <v>0.13580821917808222</v>
      </c>
      <c r="O25" s="228">
        <f>O17/'Income Statement'!O4</f>
        <v>0.13157534246575345</v>
      </c>
    </row>
    <row r="27" spans="1:15" ht="22.05" customHeight="1" x14ac:dyDescent="0.3">
      <c r="A27" s="40" t="s">
        <v>427</v>
      </c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</row>
    <row r="28" spans="1:15" x14ac:dyDescent="0.3">
      <c r="A28" s="39" t="s">
        <v>428</v>
      </c>
      <c r="B28" s="39">
        <f>'Balance Sheet'!B13</f>
        <v>84</v>
      </c>
      <c r="C28" s="39">
        <f>'Balance Sheet'!C13</f>
        <v>139</v>
      </c>
      <c r="D28" s="39">
        <f>'Balance Sheet'!D13</f>
        <v>64.650000000000006</v>
      </c>
      <c r="E28" s="39">
        <f>'Balance Sheet'!E13</f>
        <v>134.32</v>
      </c>
      <c r="F28" s="182">
        <f>'Balance Sheet'!F13</f>
        <v>180.46843068493152</v>
      </c>
      <c r="G28" s="182">
        <f>'Balance Sheet'!G13</f>
        <v>235.89802010958917</v>
      </c>
      <c r="H28" s="182">
        <f>'Balance Sheet'!H13</f>
        <v>284.25711423205496</v>
      </c>
      <c r="I28" s="182">
        <f>'Balance Sheet'!I13</f>
        <v>339.6872515073054</v>
      </c>
      <c r="J28" s="182">
        <f>'Balance Sheet'!J13</f>
        <v>402.52939303615705</v>
      </c>
      <c r="K28" s="182">
        <f>'Balance Sheet'!K13</f>
        <v>472.97203681748471</v>
      </c>
      <c r="L28" s="182">
        <f>'Balance Sheet'!L13</f>
        <v>551.01242289236961</v>
      </c>
      <c r="M28" s="182">
        <f>'Balance Sheet'!M13</f>
        <v>636.4193484406868</v>
      </c>
      <c r="N28" s="182">
        <f>'Balance Sheet'!N13</f>
        <v>728.700153964587</v>
      </c>
      <c r="O28" s="182">
        <f>'Balance Sheet'!O13</f>
        <v>830.71817551962909</v>
      </c>
    </row>
    <row r="29" spans="1:15" x14ac:dyDescent="0.3">
      <c r="A29" s="44" t="s">
        <v>429</v>
      </c>
      <c r="B29" s="44">
        <f>'Balance Sheet'!B12</f>
        <v>168</v>
      </c>
      <c r="C29" s="44">
        <f>'Balance Sheet'!C12</f>
        <v>282</v>
      </c>
      <c r="D29" s="44">
        <f>'Balance Sheet'!D12</f>
        <v>225.1</v>
      </c>
      <c r="E29" s="44">
        <f>'Balance Sheet'!E12</f>
        <v>294.04000000000002</v>
      </c>
      <c r="F29" s="180">
        <f>'Balance Sheet'!F12</f>
        <v>360.93686136986304</v>
      </c>
      <c r="G29" s="180">
        <f>'Balance Sheet'!G12</f>
        <v>440.34297087123309</v>
      </c>
      <c r="H29" s="180">
        <f>'Balance Sheet'!H12</f>
        <v>521.13804275876748</v>
      </c>
      <c r="I29" s="180">
        <f>'Balance Sheet'!I12</f>
        <v>611.43705271314968</v>
      </c>
      <c r="J29" s="180">
        <f>'Balance Sheet'!J12</f>
        <v>711.13526103054426</v>
      </c>
      <c r="K29" s="180">
        <f>'Balance Sheet'!K12</f>
        <v>819.8181971503069</v>
      </c>
      <c r="L29" s="180">
        <f>'Balance Sheet'!L12</f>
        <v>936.72111891702855</v>
      </c>
      <c r="M29" s="180">
        <f>'Balance Sheet'!M12</f>
        <v>1060.6989140678115</v>
      </c>
      <c r="N29" s="180">
        <f>'Balance Sheet'!N12</f>
        <v>1190.210251475492</v>
      </c>
      <c r="O29" s="180">
        <f>'Balance Sheet'!O12</f>
        <v>1329.1490808314063</v>
      </c>
    </row>
    <row r="30" spans="1:15" x14ac:dyDescent="0.3">
      <c r="A30" s="39" t="s">
        <v>430</v>
      </c>
      <c r="B30" s="39">
        <f>'Balance Sheet'!B32</f>
        <v>94</v>
      </c>
      <c r="C30" s="39">
        <f>'Balance Sheet'!C32</f>
        <v>159</v>
      </c>
      <c r="D30" s="39">
        <f>'Balance Sheet'!D32</f>
        <v>89.19</v>
      </c>
      <c r="E30" s="39">
        <f>'Balance Sheet'!E32</f>
        <v>109.11</v>
      </c>
      <c r="F30" s="182">
        <f>'Balance Sheet'!F32</f>
        <v>138.3806145287671</v>
      </c>
      <c r="G30" s="182">
        <f>'Balance Sheet'!G32</f>
        <v>176.13718834849325</v>
      </c>
      <c r="H30" s="182">
        <f>'Balance Sheet'!H32</f>
        <v>220.86777775830669</v>
      </c>
      <c r="I30" s="182">
        <f>'Balance Sheet'!I32</f>
        <v>275.01079882031451</v>
      </c>
      <c r="J30" s="182">
        <f>'Balance Sheet'!J32</f>
        <v>339.46645479382585</v>
      </c>
      <c r="K30" s="182">
        <f>'Balance Sheet'!K32</f>
        <v>416.21539239938659</v>
      </c>
      <c r="L30" s="182">
        <f>'Balance Sheet'!L32</f>
        <v>503.25801290836432</v>
      </c>
      <c r="M30" s="182">
        <f>'Balance Sheet'!M32</f>
        <v>603.41039823489643</v>
      </c>
      <c r="N30" s="182">
        <f>'Balance Sheet'!N32</f>
        <v>714.85485103925964</v>
      </c>
      <c r="O30" s="182">
        <f>'Balance Sheet'!O32</f>
        <v>830.02591037336254</v>
      </c>
    </row>
    <row r="31" spans="1:15" x14ac:dyDescent="0.3">
      <c r="A31" s="44" t="s">
        <v>431</v>
      </c>
      <c r="B31" s="44">
        <f t="shared" ref="B31:J31" si="10">B17-(B28+B29-B30)</f>
        <v>0</v>
      </c>
      <c r="C31" s="44">
        <f t="shared" si="10"/>
        <v>0</v>
      </c>
      <c r="D31" s="44">
        <f t="shared" si="10"/>
        <v>0</v>
      </c>
      <c r="E31" s="44">
        <f t="shared" si="10"/>
        <v>0</v>
      </c>
      <c r="F31" s="44">
        <f>F17-(F28+F29-F30)</f>
        <v>0</v>
      </c>
      <c r="G31" s="44">
        <f t="shared" si="10"/>
        <v>0</v>
      </c>
      <c r="H31" s="44">
        <f t="shared" si="10"/>
        <v>0</v>
      </c>
      <c r="I31" s="44">
        <f t="shared" si="10"/>
        <v>0</v>
      </c>
      <c r="J31" s="44">
        <f t="shared" si="10"/>
        <v>0</v>
      </c>
      <c r="K31" s="44">
        <f t="shared" ref="K31:O31" si="11">K17-(K28+K29-K30)</f>
        <v>0</v>
      </c>
      <c r="L31" s="44">
        <f t="shared" si="11"/>
        <v>0</v>
      </c>
      <c r="M31" s="44">
        <f t="shared" si="11"/>
        <v>0</v>
      </c>
      <c r="N31" s="44">
        <f t="shared" si="11"/>
        <v>0</v>
      </c>
      <c r="O31" s="44">
        <f t="shared" si="11"/>
        <v>0</v>
      </c>
    </row>
    <row r="33" spans="1:15" x14ac:dyDescent="0.3">
      <c r="A33" s="62" t="s">
        <v>461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1A18A-F5B3-4D12-9537-77B3A87AC0FD}">
  <sheetPr>
    <tabColor rgb="FF1B3A5C"/>
  </sheetPr>
  <dimension ref="A1:O38"/>
  <sheetViews>
    <sheetView showGridLines="0" workbookViewId="0">
      <pane xSplit="1" ySplit="3" topLeftCell="B18" activePane="bottomRight" state="frozen"/>
      <selection pane="topRight" activeCell="B1" sqref="B1"/>
      <selection pane="bottomLeft" activeCell="A4" sqref="A4"/>
      <selection pane="bottomRight"/>
    </sheetView>
  </sheetViews>
  <sheetFormatPr defaultRowHeight="14.4" x14ac:dyDescent="0.3"/>
  <cols>
    <col min="1" max="1" width="46.33203125" customWidth="1"/>
    <col min="2" max="10" width="18.5546875" customWidth="1"/>
    <col min="11" max="11" width="17.33203125" customWidth="1"/>
    <col min="12" max="12" width="17.21875" customWidth="1"/>
    <col min="13" max="13" width="17.109375" customWidth="1"/>
    <col min="14" max="15" width="17.21875" customWidth="1"/>
  </cols>
  <sheetData>
    <row r="1" spans="1:15" ht="28.05" customHeight="1" x14ac:dyDescent="0.35">
      <c r="A1" s="176" t="s">
        <v>432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</row>
    <row r="2" spans="1:15" x14ac:dyDescent="0.3">
      <c r="A2" s="305" t="s">
        <v>433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</row>
    <row r="3" spans="1:15" x14ac:dyDescent="0.3">
      <c r="A3" s="166"/>
      <c r="B3" s="178" t="s">
        <v>45</v>
      </c>
      <c r="C3" s="178" t="s">
        <v>46</v>
      </c>
      <c r="D3" s="178" t="s">
        <v>47</v>
      </c>
      <c r="E3" s="178" t="s">
        <v>48</v>
      </c>
      <c r="F3" s="178" t="s">
        <v>49</v>
      </c>
      <c r="G3" s="178" t="s">
        <v>50</v>
      </c>
      <c r="H3" s="178" t="s">
        <v>51</v>
      </c>
      <c r="I3" s="178" t="s">
        <v>52</v>
      </c>
      <c r="J3" s="178" t="s">
        <v>53</v>
      </c>
      <c r="K3" s="178" t="s">
        <v>486</v>
      </c>
      <c r="L3" s="178" t="s">
        <v>487</v>
      </c>
      <c r="M3" s="178" t="s">
        <v>488</v>
      </c>
      <c r="N3" s="178" t="s">
        <v>489</v>
      </c>
      <c r="O3" s="178" t="s">
        <v>490</v>
      </c>
    </row>
    <row r="5" spans="1:15" ht="22.05" customHeight="1" x14ac:dyDescent="0.3">
      <c r="A5" s="40" t="s">
        <v>434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</row>
    <row r="6" spans="1:15" x14ac:dyDescent="0.3">
      <c r="A6" s="217" t="s">
        <v>435</v>
      </c>
      <c r="B6" s="217">
        <v>2</v>
      </c>
      <c r="C6" s="217">
        <f t="shared" ref="C6:J6" si="0">B9</f>
        <v>2.9</v>
      </c>
      <c r="D6" s="217">
        <f t="shared" si="0"/>
        <v>15.2</v>
      </c>
      <c r="E6" s="217">
        <f t="shared" si="0"/>
        <v>86.92</v>
      </c>
      <c r="F6" s="217">
        <f t="shared" si="0"/>
        <v>108.93</v>
      </c>
      <c r="G6" s="217">
        <f t="shared" si="0"/>
        <v>95.2</v>
      </c>
      <c r="H6" s="217">
        <f t="shared" si="0"/>
        <v>80.2</v>
      </c>
      <c r="I6" s="217">
        <f t="shared" si="0"/>
        <v>65.2</v>
      </c>
      <c r="J6" s="217">
        <f t="shared" si="0"/>
        <v>50.2</v>
      </c>
      <c r="K6" s="217">
        <f>J9</f>
        <v>35.200000000000003</v>
      </c>
      <c r="L6" s="217">
        <f>K9</f>
        <v>25.200000000000003</v>
      </c>
      <c r="M6" s="217">
        <f>L9</f>
        <v>15.200000000000003</v>
      </c>
      <c r="N6" s="217">
        <f>M9</f>
        <v>10.200000000000003</v>
      </c>
      <c r="O6" s="217">
        <f>N9</f>
        <v>5.2000000000000028</v>
      </c>
    </row>
    <row r="7" spans="1:15" x14ac:dyDescent="0.3">
      <c r="A7" s="186" t="s">
        <v>436</v>
      </c>
      <c r="B7" s="186">
        <v>2</v>
      </c>
      <c r="C7" s="186">
        <v>15</v>
      </c>
      <c r="D7" s="186">
        <v>86.72</v>
      </c>
      <c r="E7" s="186">
        <v>37.01</v>
      </c>
      <c r="F7" s="318">
        <v>0</v>
      </c>
      <c r="G7" s="318">
        <v>0</v>
      </c>
      <c r="H7" s="318">
        <v>0</v>
      </c>
      <c r="I7" s="318">
        <v>0</v>
      </c>
      <c r="J7" s="318">
        <v>0</v>
      </c>
      <c r="K7" s="318">
        <v>0</v>
      </c>
      <c r="L7" s="318">
        <v>0</v>
      </c>
      <c r="M7" s="318">
        <v>0</v>
      </c>
      <c r="N7" s="318">
        <v>0</v>
      </c>
      <c r="O7" s="318">
        <v>0</v>
      </c>
    </row>
    <row r="8" spans="1:15" x14ac:dyDescent="0.3">
      <c r="A8" s="185" t="s">
        <v>437</v>
      </c>
      <c r="B8" s="185">
        <v>-1.1000000000000001</v>
      </c>
      <c r="C8" s="185">
        <v>-2.7</v>
      </c>
      <c r="D8" s="185">
        <v>-15</v>
      </c>
      <c r="E8" s="185">
        <v>-15</v>
      </c>
      <c r="F8" s="239">
        <v>-13.73</v>
      </c>
      <c r="G8" s="239">
        <v>-15</v>
      </c>
      <c r="H8" s="239">
        <v>-15</v>
      </c>
      <c r="I8" s="239">
        <v>-15</v>
      </c>
      <c r="J8" s="239">
        <v>-15</v>
      </c>
      <c r="K8" s="239">
        <v>-10</v>
      </c>
      <c r="L8" s="239">
        <v>-10</v>
      </c>
      <c r="M8" s="239">
        <v>-5</v>
      </c>
      <c r="N8" s="239">
        <v>-5</v>
      </c>
      <c r="O8" s="239">
        <v>-5</v>
      </c>
    </row>
    <row r="9" spans="1:15" x14ac:dyDescent="0.3">
      <c r="A9" s="192" t="s">
        <v>438</v>
      </c>
      <c r="B9" s="192">
        <f t="shared" ref="B9:J9" si="1">B6+B7+B8</f>
        <v>2.9</v>
      </c>
      <c r="C9" s="192">
        <f t="shared" si="1"/>
        <v>15.2</v>
      </c>
      <c r="D9" s="192">
        <f t="shared" si="1"/>
        <v>86.92</v>
      </c>
      <c r="E9" s="192">
        <f t="shared" si="1"/>
        <v>108.93</v>
      </c>
      <c r="F9" s="192">
        <f t="shared" si="1"/>
        <v>95.2</v>
      </c>
      <c r="G9" s="192">
        <f t="shared" si="1"/>
        <v>80.2</v>
      </c>
      <c r="H9" s="192">
        <f t="shared" si="1"/>
        <v>65.2</v>
      </c>
      <c r="I9" s="192">
        <f t="shared" si="1"/>
        <v>50.2</v>
      </c>
      <c r="J9" s="192">
        <f t="shared" si="1"/>
        <v>35.200000000000003</v>
      </c>
      <c r="K9" s="192">
        <f>K6+K7+K8</f>
        <v>25.200000000000003</v>
      </c>
      <c r="L9" s="192">
        <f>L6+L7+L8</f>
        <v>15.200000000000003</v>
      </c>
      <c r="M9" s="192">
        <f>M6+M7+M8</f>
        <v>10.200000000000003</v>
      </c>
      <c r="N9" s="192">
        <f>N6+N7+N8</f>
        <v>5.2000000000000028</v>
      </c>
      <c r="O9" s="192">
        <f>O6+O7+O8</f>
        <v>0.20000000000000284</v>
      </c>
    </row>
    <row r="10" spans="1:15" x14ac:dyDescent="0.3">
      <c r="A10" s="185"/>
      <c r="B10" s="185"/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</row>
    <row r="11" spans="1:15" x14ac:dyDescent="0.3">
      <c r="A11" s="186" t="s">
        <v>439</v>
      </c>
      <c r="B11" s="186">
        <v>8.5000000000000006E-2</v>
      </c>
      <c r="C11" s="186">
        <v>8.5000000000000006E-2</v>
      </c>
      <c r="D11" s="186">
        <v>6.5000000000000002E-2</v>
      </c>
      <c r="E11" s="186">
        <v>0.06</v>
      </c>
      <c r="F11" s="319">
        <f>Assumptions!F36</f>
        <v>8.7499999999999994E-2</v>
      </c>
      <c r="G11" s="319">
        <f>Assumptions!G36</f>
        <v>8.7499999999999994E-2</v>
      </c>
      <c r="H11" s="319">
        <f>Assumptions!H36</f>
        <v>8.5000000000000006E-2</v>
      </c>
      <c r="I11" s="319">
        <f>Assumptions!I36</f>
        <v>8.5000000000000006E-2</v>
      </c>
      <c r="J11" s="319">
        <f>Assumptions!J36</f>
        <v>8.2500000000000004E-2</v>
      </c>
      <c r="K11" s="311">
        <f>Assumptions!K36</f>
        <v>8.2500000000000004E-2</v>
      </c>
      <c r="L11" s="311">
        <f>Assumptions!L36</f>
        <v>8.2500000000000004E-2</v>
      </c>
      <c r="M11" s="311">
        <f>Assumptions!M36</f>
        <v>8.2500000000000004E-2</v>
      </c>
      <c r="N11" s="311">
        <f>Assumptions!N36</f>
        <v>8.2500000000000004E-2</v>
      </c>
      <c r="O11" s="311">
        <f>Assumptions!O36</f>
        <v>8.2500000000000004E-2</v>
      </c>
    </row>
    <row r="12" spans="1:15" x14ac:dyDescent="0.3">
      <c r="A12" s="185" t="s">
        <v>440</v>
      </c>
      <c r="B12" s="185">
        <f t="shared" ref="B12:J12" si="2">-(B6+B9)/2*B11</f>
        <v>-0.20825000000000002</v>
      </c>
      <c r="C12" s="185">
        <f t="shared" si="2"/>
        <v>-0.76924999999999999</v>
      </c>
      <c r="D12" s="185">
        <f t="shared" si="2"/>
        <v>-3.3189000000000002</v>
      </c>
      <c r="E12" s="199">
        <f t="shared" si="2"/>
        <v>-5.8755000000000006</v>
      </c>
      <c r="F12" s="199">
        <f t="shared" si="2"/>
        <v>-8.9306874999999994</v>
      </c>
      <c r="G12" s="199">
        <f t="shared" si="2"/>
        <v>-7.6737500000000001</v>
      </c>
      <c r="H12" s="199">
        <f t="shared" si="2"/>
        <v>-6.1795000000000009</v>
      </c>
      <c r="I12" s="199">
        <f t="shared" si="2"/>
        <v>-4.9045000000000005</v>
      </c>
      <c r="J12" s="199">
        <f t="shared" si="2"/>
        <v>-3.5227500000000003</v>
      </c>
      <c r="K12" s="199">
        <f>-(K6+K9)/2*K11</f>
        <v>-2.4915000000000003</v>
      </c>
      <c r="L12" s="199">
        <f>-(L6+L9)/2*L11</f>
        <v>-1.6665000000000003</v>
      </c>
      <c r="M12" s="199">
        <f>-(M6+M9)/2*M11</f>
        <v>-1.0477500000000002</v>
      </c>
      <c r="N12" s="199">
        <f>-(N6+N9)/2*N11</f>
        <v>-0.63525000000000031</v>
      </c>
      <c r="O12" s="199">
        <f>-(O6+O9)/2*O11</f>
        <v>-0.22275000000000025</v>
      </c>
    </row>
    <row r="13" spans="1:15" x14ac:dyDescent="0.3">
      <c r="A13" s="186" t="s">
        <v>441</v>
      </c>
      <c r="B13" s="311">
        <f>'Balance Sheet'!B27</f>
        <v>2.9</v>
      </c>
      <c r="C13" s="311">
        <f>'Balance Sheet'!C27</f>
        <v>15.2</v>
      </c>
      <c r="D13" s="311">
        <f>'Balance Sheet'!D27</f>
        <v>126.72</v>
      </c>
      <c r="E13" s="311">
        <f>'Balance Sheet'!E27</f>
        <v>148.72999999999999</v>
      </c>
      <c r="F13" s="311">
        <f>'Balance Sheet'!F27</f>
        <v>95.2</v>
      </c>
      <c r="G13" s="311">
        <f>'Balance Sheet'!G27</f>
        <v>80.2</v>
      </c>
      <c r="H13" s="311">
        <f>'Balance Sheet'!H27</f>
        <v>65.2</v>
      </c>
      <c r="I13" s="311">
        <f>'Balance Sheet'!I27</f>
        <v>50.2</v>
      </c>
      <c r="J13" s="311">
        <f>'Balance Sheet'!J27</f>
        <v>35.200000000000003</v>
      </c>
      <c r="K13" s="311">
        <f>'Balance Sheet'!K27</f>
        <v>25.200000000000003</v>
      </c>
      <c r="L13" s="311">
        <f>'Balance Sheet'!L27</f>
        <v>15.200000000000003</v>
      </c>
      <c r="M13" s="311">
        <f>'Balance Sheet'!M27</f>
        <v>10.200000000000003</v>
      </c>
      <c r="N13" s="311">
        <f>'Balance Sheet'!N27</f>
        <v>5.2000000000000028</v>
      </c>
      <c r="O13" s="311">
        <f>'Balance Sheet'!O27</f>
        <v>0.20000000000000284</v>
      </c>
    </row>
    <row r="14" spans="1:15" x14ac:dyDescent="0.3">
      <c r="A14" s="201"/>
      <c r="B14" s="201"/>
      <c r="C14" s="201"/>
      <c r="D14" s="201"/>
      <c r="E14" s="201"/>
      <c r="F14" s="201"/>
      <c r="G14" s="201"/>
      <c r="H14" s="201"/>
      <c r="I14" s="201"/>
      <c r="J14" s="201"/>
      <c r="K14" s="201"/>
      <c r="L14" s="201"/>
      <c r="M14" s="201"/>
      <c r="N14" s="201"/>
      <c r="O14" s="201"/>
    </row>
    <row r="15" spans="1:15" ht="22.05" customHeight="1" x14ac:dyDescent="0.3">
      <c r="A15" s="40" t="s">
        <v>442</v>
      </c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</row>
    <row r="16" spans="1:15" x14ac:dyDescent="0.3">
      <c r="A16" s="217" t="s">
        <v>435</v>
      </c>
      <c r="B16" s="217">
        <v>35</v>
      </c>
      <c r="C16" s="217">
        <f t="shared" ref="C16:J16" si="3">B19</f>
        <v>30</v>
      </c>
      <c r="D16" s="217">
        <f t="shared" si="3"/>
        <v>25</v>
      </c>
      <c r="E16" s="217">
        <f t="shared" si="3"/>
        <v>45.18</v>
      </c>
      <c r="F16" s="217">
        <f t="shared" si="3"/>
        <v>63.039999999999992</v>
      </c>
      <c r="G16" s="217">
        <f t="shared" si="3"/>
        <v>54.999999999999993</v>
      </c>
      <c r="H16" s="217">
        <f t="shared" si="3"/>
        <v>47.999999999999993</v>
      </c>
      <c r="I16" s="217">
        <f t="shared" si="3"/>
        <v>41.999999999999993</v>
      </c>
      <c r="J16" s="217">
        <f t="shared" si="3"/>
        <v>35.999999999999993</v>
      </c>
      <c r="K16" s="217">
        <f>J19</f>
        <v>29.999999999999993</v>
      </c>
      <c r="L16" s="217">
        <f>K19</f>
        <v>26.999999999999993</v>
      </c>
      <c r="M16" s="217">
        <f>L19</f>
        <v>24.999999999999993</v>
      </c>
      <c r="N16" s="217">
        <f>M19</f>
        <v>22.999999999999993</v>
      </c>
      <c r="O16" s="217">
        <f>N19</f>
        <v>20.999999999999993</v>
      </c>
    </row>
    <row r="17" spans="1:15" x14ac:dyDescent="0.3">
      <c r="A17" s="186" t="s">
        <v>443</v>
      </c>
      <c r="B17" s="186">
        <v>10</v>
      </c>
      <c r="C17" s="186">
        <v>5</v>
      </c>
      <c r="D17" s="186">
        <v>30.18</v>
      </c>
      <c r="E17" s="186">
        <v>27.86</v>
      </c>
      <c r="F17" s="318">
        <v>0</v>
      </c>
      <c r="G17" s="318">
        <v>0</v>
      </c>
      <c r="H17" s="318">
        <v>0</v>
      </c>
      <c r="I17" s="318">
        <v>0</v>
      </c>
      <c r="J17" s="318">
        <v>0</v>
      </c>
      <c r="K17" s="318">
        <v>0</v>
      </c>
      <c r="L17" s="318">
        <v>0</v>
      </c>
      <c r="M17" s="318">
        <v>0</v>
      </c>
      <c r="N17" s="318">
        <v>0</v>
      </c>
      <c r="O17" s="318">
        <v>0</v>
      </c>
    </row>
    <row r="18" spans="1:15" x14ac:dyDescent="0.3">
      <c r="A18" s="185" t="s">
        <v>437</v>
      </c>
      <c r="B18" s="185">
        <v>-15</v>
      </c>
      <c r="C18" s="185">
        <v>-10</v>
      </c>
      <c r="D18" s="185">
        <v>-10</v>
      </c>
      <c r="E18" s="185">
        <v>-10</v>
      </c>
      <c r="F18" s="239">
        <v>-8.0399999999999991</v>
      </c>
      <c r="G18" s="239">
        <v>-7</v>
      </c>
      <c r="H18" s="239">
        <v>-6</v>
      </c>
      <c r="I18" s="239">
        <v>-6</v>
      </c>
      <c r="J18" s="239">
        <v>-6</v>
      </c>
      <c r="K18" s="239">
        <v>-3</v>
      </c>
      <c r="L18" s="239">
        <v>-2</v>
      </c>
      <c r="M18" s="239">
        <v>-2</v>
      </c>
      <c r="N18" s="239">
        <v>-2</v>
      </c>
      <c r="O18" s="239">
        <v>-2</v>
      </c>
    </row>
    <row r="19" spans="1:15" x14ac:dyDescent="0.3">
      <c r="A19" s="192" t="s">
        <v>438</v>
      </c>
      <c r="B19" s="192">
        <f t="shared" ref="B19:J19" si="4">B16+B17+B18</f>
        <v>30</v>
      </c>
      <c r="C19" s="192">
        <f t="shared" si="4"/>
        <v>25</v>
      </c>
      <c r="D19" s="192">
        <f t="shared" si="4"/>
        <v>45.18</v>
      </c>
      <c r="E19" s="192">
        <f t="shared" si="4"/>
        <v>63.039999999999992</v>
      </c>
      <c r="F19" s="192">
        <f t="shared" si="4"/>
        <v>54.999999999999993</v>
      </c>
      <c r="G19" s="192">
        <f t="shared" si="4"/>
        <v>47.999999999999993</v>
      </c>
      <c r="H19" s="192">
        <f t="shared" si="4"/>
        <v>41.999999999999993</v>
      </c>
      <c r="I19" s="192">
        <f t="shared" si="4"/>
        <v>35.999999999999993</v>
      </c>
      <c r="J19" s="192">
        <f t="shared" si="4"/>
        <v>29.999999999999993</v>
      </c>
      <c r="K19" s="192">
        <f>K16+K17+K18</f>
        <v>26.999999999999993</v>
      </c>
      <c r="L19" s="192">
        <f>L16+L17+L18</f>
        <v>24.999999999999993</v>
      </c>
      <c r="M19" s="192">
        <f>M16+M17+M18</f>
        <v>22.999999999999993</v>
      </c>
      <c r="N19" s="192">
        <f>N16+N17+N18</f>
        <v>20.999999999999993</v>
      </c>
      <c r="O19" s="192">
        <f>O16+O17+O18</f>
        <v>18.999999999999993</v>
      </c>
    </row>
    <row r="20" spans="1:15" x14ac:dyDescent="0.3">
      <c r="A20" s="185"/>
      <c r="B20" s="185"/>
      <c r="C20" s="185"/>
      <c r="D20" s="185"/>
      <c r="E20" s="185"/>
      <c r="F20" s="185"/>
      <c r="G20" s="185"/>
      <c r="H20" s="185"/>
      <c r="I20" s="185"/>
      <c r="J20" s="185"/>
      <c r="K20" s="185"/>
      <c r="L20" s="185"/>
      <c r="M20" s="185"/>
      <c r="N20" s="185"/>
      <c r="O20" s="185"/>
    </row>
    <row r="21" spans="1:15" x14ac:dyDescent="0.3">
      <c r="A21" s="186" t="s">
        <v>439</v>
      </c>
      <c r="B21" s="186">
        <v>9.5000000000000001E-2</v>
      </c>
      <c r="C21" s="186">
        <v>9.5000000000000001E-2</v>
      </c>
      <c r="D21" s="186">
        <v>7.4999999999999997E-2</v>
      </c>
      <c r="E21" s="186">
        <v>7.0000000000000007E-2</v>
      </c>
      <c r="F21" s="319">
        <f>Assumptions!F36+0.005</f>
        <v>9.2499999999999999E-2</v>
      </c>
      <c r="G21" s="319">
        <f>Assumptions!G36+0.005</f>
        <v>9.2499999999999999E-2</v>
      </c>
      <c r="H21" s="319">
        <f>Assumptions!H36+0.005</f>
        <v>9.0000000000000011E-2</v>
      </c>
      <c r="I21" s="319">
        <f>Assumptions!I36+0.005</f>
        <v>9.0000000000000011E-2</v>
      </c>
      <c r="J21" s="319">
        <f>Assumptions!J36+0.005</f>
        <v>8.7500000000000008E-2</v>
      </c>
      <c r="K21" s="320">
        <f>Assumptions!K36+0.005</f>
        <v>8.7500000000000008E-2</v>
      </c>
      <c r="L21" s="320">
        <f>Assumptions!L36+0.005</f>
        <v>8.7500000000000008E-2</v>
      </c>
      <c r="M21" s="320">
        <f>Assumptions!M36+0.005</f>
        <v>8.7500000000000008E-2</v>
      </c>
      <c r="N21" s="320">
        <f>Assumptions!N36+0.005</f>
        <v>8.7500000000000008E-2</v>
      </c>
      <c r="O21" s="320">
        <f>Assumptions!O36+0.005</f>
        <v>8.7500000000000008E-2</v>
      </c>
    </row>
    <row r="22" spans="1:15" x14ac:dyDescent="0.3">
      <c r="A22" s="185" t="s">
        <v>444</v>
      </c>
      <c r="B22" s="185">
        <f t="shared" ref="B22:J22" si="5">-(B16+B19)/2*B21</f>
        <v>-3.0874999999999999</v>
      </c>
      <c r="C22" s="185">
        <f t="shared" si="5"/>
        <v>-2.6124999999999998</v>
      </c>
      <c r="D22" s="185">
        <f t="shared" si="5"/>
        <v>-2.6317500000000003</v>
      </c>
      <c r="E22" s="185">
        <f t="shared" si="5"/>
        <v>-3.7877000000000005</v>
      </c>
      <c r="F22" s="191">
        <f t="shared" si="5"/>
        <v>-5.4593499999999997</v>
      </c>
      <c r="G22" s="191">
        <f t="shared" si="5"/>
        <v>-4.763749999999999</v>
      </c>
      <c r="H22" s="191">
        <f t="shared" si="5"/>
        <v>-4.05</v>
      </c>
      <c r="I22" s="191">
        <f t="shared" si="5"/>
        <v>-3.51</v>
      </c>
      <c r="J22" s="191">
        <f t="shared" si="5"/>
        <v>-2.8874999999999997</v>
      </c>
      <c r="K22" s="191">
        <f>-(K16+K19)/2*K21</f>
        <v>-2.4937499999999995</v>
      </c>
      <c r="L22" s="191">
        <f>-(L16+L19)/2*L21</f>
        <v>-2.2749999999999995</v>
      </c>
      <c r="M22" s="191">
        <f>-(M16+M19)/2*M21</f>
        <v>-2.0999999999999996</v>
      </c>
      <c r="N22" s="191">
        <f>-(N16+N19)/2*N21</f>
        <v>-1.9249999999999996</v>
      </c>
      <c r="O22" s="191">
        <f>-(O16+O19)/2*O21</f>
        <v>-1.7499999999999996</v>
      </c>
    </row>
    <row r="23" spans="1:15" x14ac:dyDescent="0.3">
      <c r="A23" s="186" t="s">
        <v>445</v>
      </c>
      <c r="B23" s="311">
        <f>'Balance Sheet'!B32</f>
        <v>94</v>
      </c>
      <c r="C23" s="311">
        <f>'Balance Sheet'!C32</f>
        <v>159</v>
      </c>
      <c r="D23" s="311">
        <f>'Balance Sheet'!D32</f>
        <v>89.19</v>
      </c>
      <c r="E23" s="311">
        <f>'Balance Sheet'!E32</f>
        <v>109.11</v>
      </c>
      <c r="F23" s="321">
        <f>'Balance Sheet'!F32</f>
        <v>138.3806145287671</v>
      </c>
      <c r="G23" s="321">
        <f>'Balance Sheet'!G32</f>
        <v>176.13718834849325</v>
      </c>
      <c r="H23" s="321">
        <f>'Balance Sheet'!H32</f>
        <v>220.86777775830669</v>
      </c>
      <c r="I23" s="321">
        <f>'Balance Sheet'!I32</f>
        <v>275.01079882031451</v>
      </c>
      <c r="J23" s="321">
        <f>'Balance Sheet'!J32</f>
        <v>339.46645479382585</v>
      </c>
      <c r="K23" s="311">
        <f>'Balance Sheet'!K32</f>
        <v>416.21539239938659</v>
      </c>
      <c r="L23" s="311">
        <f>'Balance Sheet'!L32</f>
        <v>503.25801290836432</v>
      </c>
      <c r="M23" s="311">
        <f>'Balance Sheet'!M32</f>
        <v>603.41039823489643</v>
      </c>
      <c r="N23" s="311">
        <f>'Balance Sheet'!N32</f>
        <v>714.85485103925964</v>
      </c>
      <c r="O23" s="311">
        <f>'Balance Sheet'!O32</f>
        <v>830.02591037336254</v>
      </c>
    </row>
    <row r="24" spans="1:15" x14ac:dyDescent="0.3">
      <c r="A24" s="201"/>
      <c r="B24" s="201"/>
      <c r="C24" s="201"/>
      <c r="D24" s="201"/>
      <c r="E24" s="201"/>
      <c r="F24" s="201"/>
      <c r="G24" s="201"/>
      <c r="H24" s="201"/>
      <c r="I24" s="201"/>
      <c r="J24" s="201"/>
      <c r="K24" s="201"/>
      <c r="L24" s="201"/>
      <c r="M24" s="201"/>
      <c r="N24" s="201"/>
      <c r="O24" s="201"/>
    </row>
    <row r="25" spans="1:15" ht="22.05" customHeight="1" x14ac:dyDescent="0.3">
      <c r="A25" s="40" t="s">
        <v>446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</row>
    <row r="26" spans="1:15" x14ac:dyDescent="0.3">
      <c r="A26" s="184" t="s">
        <v>447</v>
      </c>
      <c r="B26" s="184">
        <f t="shared" ref="B26:E26" si="6">B9+B19</f>
        <v>32.9</v>
      </c>
      <c r="C26" s="184">
        <f t="shared" si="6"/>
        <v>40.200000000000003</v>
      </c>
      <c r="D26" s="184">
        <f t="shared" si="6"/>
        <v>132.1</v>
      </c>
      <c r="E26" s="184">
        <f t="shared" si="6"/>
        <v>171.97</v>
      </c>
      <c r="F26" s="184">
        <f>F9+'Balance Sheet'!F33</f>
        <v>150.19999999999999</v>
      </c>
      <c r="G26" s="184">
        <f>G9+'Balance Sheet'!G33</f>
        <v>128.19999999999999</v>
      </c>
      <c r="H26" s="184">
        <f>H9+'Balance Sheet'!H33</f>
        <v>107.19999999999999</v>
      </c>
      <c r="I26" s="184">
        <f>I9+'Balance Sheet'!I33</f>
        <v>86.199999999999989</v>
      </c>
      <c r="J26" s="184">
        <f>J9+'Balance Sheet'!J33</f>
        <v>65.199999999999989</v>
      </c>
      <c r="K26" s="184">
        <f>K9+'Balance Sheet'!K33</f>
        <v>52.199999999999996</v>
      </c>
      <c r="L26" s="184">
        <f>L9+'Balance Sheet'!L33</f>
        <v>40.199999999999996</v>
      </c>
      <c r="M26" s="184">
        <f>M9+'Balance Sheet'!M33</f>
        <v>33.199999999999996</v>
      </c>
      <c r="N26" s="184">
        <f>N9+'Balance Sheet'!N33</f>
        <v>26.199999999999996</v>
      </c>
      <c r="O26" s="184">
        <f>O9+'Balance Sheet'!O33</f>
        <v>19.199999999999996</v>
      </c>
    </row>
    <row r="27" spans="1:15" x14ac:dyDescent="0.3">
      <c r="A27" s="186" t="s">
        <v>448</v>
      </c>
      <c r="B27" s="186">
        <f>'Balance Sheet'!B14</f>
        <v>15</v>
      </c>
      <c r="C27" s="186">
        <f>'Balance Sheet'!C14</f>
        <v>36</v>
      </c>
      <c r="D27" s="186">
        <f>'Balance Sheet'!D14</f>
        <v>305.89999999999998</v>
      </c>
      <c r="E27" s="186">
        <f>'Balance Sheet'!E14</f>
        <v>225.37</v>
      </c>
      <c r="F27" s="238">
        <f>'Balance Sheet'!F14</f>
        <v>187.78865137739251</v>
      </c>
      <c r="G27" s="238">
        <f>'Balance Sheet'!G14</f>
        <v>226.30797679149941</v>
      </c>
      <c r="H27" s="238">
        <f>'Balance Sheet'!H14</f>
        <v>475.07576967332375</v>
      </c>
      <c r="I27" s="238">
        <f>'Balance Sheet'!I14</f>
        <v>854.76388581395133</v>
      </c>
      <c r="J27" s="238">
        <f>'Balance Sheet'!J14</f>
        <v>1397.0237056316184</v>
      </c>
      <c r="K27" s="186">
        <f>'Balance Sheet'!K14</f>
        <v>2089.9141583955493</v>
      </c>
      <c r="L27" s="186">
        <f>'Balance Sheet'!L14</f>
        <v>2962.9171903029537</v>
      </c>
      <c r="M27" s="186">
        <f>'Balance Sheet'!M14</f>
        <v>4019.5485280039557</v>
      </c>
      <c r="N27" s="186">
        <f>'Balance Sheet'!N14</f>
        <v>5278.8165675671307</v>
      </c>
      <c r="O27" s="186">
        <f>'Balance Sheet'!O14</f>
        <v>6723.3951515061581</v>
      </c>
    </row>
    <row r="28" spans="1:15" x14ac:dyDescent="0.3">
      <c r="A28" s="189" t="s">
        <v>449</v>
      </c>
      <c r="B28" s="189">
        <f t="shared" ref="B28:J28" si="7">B26-B27</f>
        <v>17.899999999999999</v>
      </c>
      <c r="C28" s="189">
        <f t="shared" si="7"/>
        <v>4.2000000000000028</v>
      </c>
      <c r="D28" s="189">
        <f t="shared" si="7"/>
        <v>-173.79999999999998</v>
      </c>
      <c r="E28" s="189">
        <f t="shared" si="7"/>
        <v>-53.400000000000006</v>
      </c>
      <c r="F28" s="313">
        <f>F26-F27</f>
        <v>-37.588651377392523</v>
      </c>
      <c r="G28" s="313">
        <f t="shared" si="7"/>
        <v>-98.107976791499425</v>
      </c>
      <c r="H28" s="313">
        <f t="shared" si="7"/>
        <v>-367.87576967332376</v>
      </c>
      <c r="I28" s="313">
        <f t="shared" si="7"/>
        <v>-768.5638858139514</v>
      </c>
      <c r="J28" s="313">
        <f t="shared" si="7"/>
        <v>-1331.8237056316184</v>
      </c>
      <c r="K28" s="313">
        <f>K26-K27</f>
        <v>-2037.7141583955492</v>
      </c>
      <c r="L28" s="313">
        <f>L26-L27</f>
        <v>-2922.7171903029539</v>
      </c>
      <c r="M28" s="313">
        <f>M26-M27</f>
        <v>-3986.3485280039558</v>
      </c>
      <c r="N28" s="313">
        <f>N26-N27</f>
        <v>-5252.6165675671309</v>
      </c>
      <c r="O28" s="313">
        <f>O26-O27</f>
        <v>-6704.1951515061583</v>
      </c>
    </row>
    <row r="29" spans="1:15" x14ac:dyDescent="0.3">
      <c r="A29" s="186"/>
      <c r="B29" s="186"/>
      <c r="C29" s="186"/>
      <c r="D29" s="186"/>
      <c r="E29" s="186"/>
      <c r="F29" s="186"/>
      <c r="G29" s="186"/>
      <c r="H29" s="186"/>
      <c r="I29" s="186"/>
      <c r="J29" s="186"/>
      <c r="K29" s="186"/>
      <c r="L29" s="186"/>
      <c r="M29" s="186"/>
      <c r="N29" s="186"/>
      <c r="O29" s="186"/>
    </row>
    <row r="30" spans="1:15" x14ac:dyDescent="0.3">
      <c r="A30" s="185" t="s">
        <v>450</v>
      </c>
      <c r="B30" s="185">
        <f t="shared" ref="B30:J30" si="8">B12+B22</f>
        <v>-3.29575</v>
      </c>
      <c r="C30" s="191">
        <f t="shared" si="8"/>
        <v>-3.3817499999999998</v>
      </c>
      <c r="D30" s="191">
        <f t="shared" si="8"/>
        <v>-5.9506500000000004</v>
      </c>
      <c r="E30" s="191">
        <f t="shared" si="8"/>
        <v>-9.6632000000000016</v>
      </c>
      <c r="F30" s="191">
        <f t="shared" si="8"/>
        <v>-14.390037499999998</v>
      </c>
      <c r="G30" s="191">
        <f t="shared" si="8"/>
        <v>-12.4375</v>
      </c>
      <c r="H30" s="191">
        <f t="shared" si="8"/>
        <v>-10.229500000000002</v>
      </c>
      <c r="I30" s="191">
        <f t="shared" si="8"/>
        <v>-8.4145000000000003</v>
      </c>
      <c r="J30" s="191">
        <f t="shared" si="8"/>
        <v>-6.4102499999999996</v>
      </c>
      <c r="K30" s="199">
        <f>K12+K22</f>
        <v>-4.9852499999999997</v>
      </c>
      <c r="L30" s="199">
        <f>L12+L22</f>
        <v>-3.9414999999999996</v>
      </c>
      <c r="M30" s="199">
        <f>M12+M22</f>
        <v>-3.1477499999999998</v>
      </c>
      <c r="N30" s="199">
        <f>N12+N22</f>
        <v>-2.5602499999999999</v>
      </c>
      <c r="O30" s="199">
        <f>O12+O22</f>
        <v>-1.9727499999999998</v>
      </c>
    </row>
    <row r="31" spans="1:15" x14ac:dyDescent="0.3">
      <c r="A31" s="186" t="s">
        <v>451</v>
      </c>
      <c r="B31" s="186">
        <f>'Income Statement'!B21</f>
        <v>-10.3</v>
      </c>
      <c r="C31" s="186">
        <f>'Income Statement'!C21</f>
        <v>-11.88</v>
      </c>
      <c r="D31" s="186">
        <f>'Income Statement'!D21</f>
        <v>-17.12</v>
      </c>
      <c r="E31" s="186">
        <f>'Income Statement'!E21</f>
        <v>-15.04</v>
      </c>
      <c r="F31" s="186">
        <f>'Income Statement'!F21</f>
        <v>-10</v>
      </c>
      <c r="G31" s="186">
        <f>'Income Statement'!G21</f>
        <v>-10</v>
      </c>
      <c r="H31" s="186">
        <f>'Income Statement'!H21</f>
        <v>-8</v>
      </c>
      <c r="I31" s="186">
        <f>'Income Statement'!I21</f>
        <v>-7</v>
      </c>
      <c r="J31" s="186">
        <f>'Income Statement'!J21</f>
        <v>-6</v>
      </c>
      <c r="K31" s="311">
        <f>'Income Statement'!K21</f>
        <v>-5</v>
      </c>
      <c r="L31" s="311">
        <f>'Income Statement'!L21</f>
        <v>-4</v>
      </c>
      <c r="M31" s="311">
        <f>'Income Statement'!M21</f>
        <v>-4</v>
      </c>
      <c r="N31" s="311">
        <f>'Income Statement'!N21</f>
        <v>-3</v>
      </c>
      <c r="O31" s="311">
        <f>'Income Statement'!O21</f>
        <v>-3</v>
      </c>
    </row>
    <row r="32" spans="1:15" x14ac:dyDescent="0.3">
      <c r="A32" s="185"/>
      <c r="B32" s="185"/>
      <c r="C32" s="185"/>
      <c r="D32" s="185"/>
      <c r="E32" s="185"/>
      <c r="F32" s="185"/>
      <c r="G32" s="185"/>
      <c r="H32" s="185"/>
      <c r="I32" s="185"/>
      <c r="J32" s="185"/>
      <c r="K32" s="185"/>
      <c r="L32" s="185"/>
      <c r="M32" s="185"/>
      <c r="N32" s="185"/>
      <c r="O32" s="185"/>
    </row>
    <row r="33" spans="1:15" x14ac:dyDescent="0.3">
      <c r="A33" s="188" t="s">
        <v>452</v>
      </c>
      <c r="B33" s="189"/>
      <c r="C33" s="189"/>
      <c r="D33" s="189"/>
      <c r="E33" s="189"/>
      <c r="F33" s="189"/>
      <c r="G33" s="189"/>
      <c r="H33" s="189"/>
      <c r="I33" s="189"/>
      <c r="J33" s="189"/>
      <c r="K33" s="189"/>
      <c r="L33" s="189"/>
      <c r="M33" s="189"/>
      <c r="N33" s="189"/>
      <c r="O33" s="189"/>
    </row>
    <row r="34" spans="1:15" x14ac:dyDescent="0.3">
      <c r="A34" s="185" t="s">
        <v>453</v>
      </c>
      <c r="B34" s="322">
        <f>IF('Balance Sheet'!B24&gt;0,B26/'Balance Sheet'!B24,0)</f>
        <v>9.7308488612836433E-2</v>
      </c>
      <c r="C34" s="322">
        <f>IF('Balance Sheet'!C24&gt;0,C26/'Balance Sheet'!C24,0)</f>
        <v>8.2074316047366272E-2</v>
      </c>
      <c r="D34" s="322">
        <f>IF('Balance Sheet'!D24&gt;0,D26/'Balance Sheet'!D24,0)</f>
        <v>0.1568455172577562</v>
      </c>
      <c r="E34" s="322">
        <f>IF('Balance Sheet'!E24&gt;0,E26/'Balance Sheet'!E24,0)</f>
        <v>0.15886374133949191</v>
      </c>
      <c r="F34" s="322">
        <f>IF('Balance Sheet'!F24&gt;0,F26/'Balance Sheet'!F24,0)</f>
        <v>0.11496675772834014</v>
      </c>
      <c r="G34" s="322">
        <f>IF('Balance Sheet'!G24&gt;0,G26/'Balance Sheet'!G24,0)</f>
        <v>8.0527661461029645E-2</v>
      </c>
      <c r="H34" s="322">
        <f>IF('Balance Sheet'!H24&gt;0,H26/'Balance Sheet'!H24,0)</f>
        <v>5.4520640112719593E-2</v>
      </c>
      <c r="I34" s="322">
        <f>IF('Balance Sheet'!I24&gt;0,I26/'Balance Sheet'!I24,0)</f>
        <v>3.5375436374991569E-2</v>
      </c>
      <c r="J34" s="322">
        <f>IF('Balance Sheet'!J24&gt;0,J26/'Balance Sheet'!J24,0)</f>
        <v>2.1556190748064689E-2</v>
      </c>
      <c r="K34" s="322">
        <f>IF('Balance Sheet'!K24&gt;0,K26/'Balance Sheet'!K24,0)</f>
        <v>1.3974902855569588E-2</v>
      </c>
      <c r="L34" s="322">
        <f>IF('Balance Sheet'!L24&gt;0,L26/'Balance Sheet'!L24,0)</f>
        <v>8.7487546371655713E-3</v>
      </c>
      <c r="M34" s="322">
        <f>IF('Balance Sheet'!M24&gt;0,M26/'Balance Sheet'!M24,0)</f>
        <v>5.9200886753288853E-3</v>
      </c>
      <c r="N34" s="322">
        <f>IF('Balance Sheet'!N24&gt;0,N26/'Balance Sheet'!N24,0)</f>
        <v>3.8541890112737394E-3</v>
      </c>
      <c r="O34" s="322">
        <f>IF('Balance Sheet'!O24&gt;0,O26/'Balance Sheet'!O24,0)</f>
        <v>2.3529554012051016E-3</v>
      </c>
    </row>
    <row r="35" spans="1:15" x14ac:dyDescent="0.3">
      <c r="A35" s="186" t="s">
        <v>454</v>
      </c>
      <c r="B35" s="323">
        <f>IF('Income Statement'!B14&gt;0,B28/'Income Statement'!B14,0)</f>
        <v>0.25575082154593504</v>
      </c>
      <c r="C35" s="323">
        <f>IF('Income Statement'!C14&gt;0,C28/'Income Statement'!C14,0)</f>
        <v>2.2504420511171845E-2</v>
      </c>
      <c r="D35" s="323">
        <f>IF('Income Statement'!D14&gt;0,D28/'Income Statement'!D14,0)</f>
        <v>-0.63726029406372564</v>
      </c>
      <c r="E35" s="323">
        <f>IF('Income Statement'!E14&gt;0,E28/'Income Statement'!E14,0)</f>
        <v>-0.15325010761945754</v>
      </c>
      <c r="F35" s="323">
        <f>IF('Income Statement'!F14&gt;0,F28/'Income Statement'!F14,0)</f>
        <v>-9.1302489746315788E-2</v>
      </c>
      <c r="G35" s="323">
        <f>IF('Income Statement'!G14&gt;0,G28/'Income Statement'!G14,0)</f>
        <v>-0.18577642063807931</v>
      </c>
      <c r="H35" s="323">
        <f>IF('Income Statement'!H14&gt;0,H28/'Income Statement'!H14,0)</f>
        <v>-0.54548601387253859</v>
      </c>
      <c r="I35" s="323">
        <f>IF('Income Statement'!I14&gt;0,I28/'Income Statement'!I14,0)</f>
        <v>-0.92061436288350951</v>
      </c>
      <c r="J35" s="323">
        <f>IF('Income Statement'!J14&gt;0,J28/'Income Statement'!J14,0)</f>
        <v>-1.294965618251974</v>
      </c>
      <c r="K35" s="323">
        <f>IF('Income Statement'!K14&gt;0,K28/'Income Statement'!K14,0)</f>
        <v>-1.6547119942448862</v>
      </c>
      <c r="L35" s="323">
        <f>IF('Income Statement'!L14&gt;0,L28/'Income Statement'!L14,0)</f>
        <v>-1.9816689880919858</v>
      </c>
      <c r="M35" s="323">
        <f>IF('Income Statement'!M14&gt;0,M28/'Income Statement'!M14,0)</f>
        <v>-2.3086357637939434</v>
      </c>
      <c r="N35" s="323">
        <f>IF('Income Statement'!N14&gt;0,N28/'Income Statement'!N14,0)</f>
        <v>-2.6099330740216984</v>
      </c>
      <c r="O35" s="323">
        <f>IF('Income Statement'!O14&gt;0,O28/'Income Statement'!O14,0)</f>
        <v>-2.9221026497122518</v>
      </c>
    </row>
    <row r="36" spans="1:15" x14ac:dyDescent="0.3">
      <c r="A36" s="185" t="s">
        <v>455</v>
      </c>
      <c r="B36" s="322">
        <f>IF(ABS(B30)&gt;0,'Income Statement'!B14/ABS(B30),0)</f>
        <v>21.236440870818484</v>
      </c>
      <c r="C36" s="322">
        <f>IF(ABS(C30)&gt;0,'Income Statement'!C14/ABS(C30),0)</f>
        <v>55.187402971834125</v>
      </c>
      <c r="D36" s="322">
        <f>IF(ABS(D30)&gt;0,'Income Statement'!D14/ABS(D30),0)</f>
        <v>45.831967936275888</v>
      </c>
      <c r="E36" s="322">
        <f>IF(ABS(E30)&gt;0,'Income Statement'!E14/ABS(E30),0)</f>
        <v>36.059483400943797</v>
      </c>
      <c r="F36" s="322">
        <f>IF(ABS(F30)&gt;0,'Income Statement'!F14/ABS(F30),0)</f>
        <v>28.609627146558875</v>
      </c>
      <c r="G36" s="322">
        <f>IF(ABS(G30)&gt;0,'Income Statement'!G14/ABS(G30),0)</f>
        <v>42.460063063477406</v>
      </c>
      <c r="H36" s="322">
        <f>IF(ABS(H30)&gt;0,'Income Statement'!H14/ABS(H30),0)</f>
        <v>65.926976246693442</v>
      </c>
      <c r="I36" s="322">
        <f>IF(ABS(I30)&gt;0,'Income Statement'!I14/ABS(I30),0)</f>
        <v>99.214217733807189</v>
      </c>
      <c r="J36" s="322">
        <f>IF(ABS(J30)&gt;0,'Income Statement'!J14/ABS(J30),0)</f>
        <v>160.44032591667738</v>
      </c>
      <c r="K36" s="322">
        <f>IF(ABS(K30)&gt;0,'Income Statement'!K14/ABS(K30),0)</f>
        <v>247.02101730647894</v>
      </c>
      <c r="L36" s="322">
        <f>IF(ABS(L30)&gt;0,'Income Statement'!L14/ABS(L30),0)</f>
        <v>374.19169993029129</v>
      </c>
      <c r="M36" s="322">
        <f>IF(ABS(M30)&gt;0,'Income Statement'!M14/ABS(M30),0)</f>
        <v>548.55428868588376</v>
      </c>
      <c r="N36" s="322">
        <f>IF(ABS(N30)&gt;0,'Income Statement'!N14/ABS(N30),0)</f>
        <v>786.07494394083767</v>
      </c>
      <c r="O36" s="322">
        <f>IF(ABS(O30)&gt;0,'Income Statement'!O14/ABS(O30),0)</f>
        <v>1162.9984274520152</v>
      </c>
    </row>
    <row r="37" spans="1:15" x14ac:dyDescent="0.3">
      <c r="A37" s="186" t="s">
        <v>456</v>
      </c>
      <c r="B37" s="234">
        <f>IF((B26+'Balance Sheet'!B24)&gt;0,B26/(B26+'Balance Sheet'!B24),0)</f>
        <v>8.8679245283018862E-2</v>
      </c>
      <c r="C37" s="234">
        <f>IF((C26+'Balance Sheet'!C24)&gt;0,C26/(C26+'Balance Sheet'!C24),0)</f>
        <v>7.5849056603773585E-2</v>
      </c>
      <c r="D37" s="234">
        <f>IF((D26+'Balance Sheet'!D24)&gt;0,D26/(D26+'Balance Sheet'!D24),0)</f>
        <v>0.13558034752086048</v>
      </c>
      <c r="E37" s="234">
        <f>IF((E26+'Balance Sheet'!E24)&gt;0,E26/(E26+'Balance Sheet'!E24),0)</f>
        <v>0.13708578124626336</v>
      </c>
      <c r="F37" s="234">
        <f>IF((F26+'Balance Sheet'!F24)&gt;0,F26/(F26+'Balance Sheet'!F24),0)</f>
        <v>0.10311227391440454</v>
      </c>
      <c r="G37" s="234">
        <f>IF((G26+'Balance Sheet'!G24)&gt;0,G26/(G26+'Balance Sheet'!G24),0)</f>
        <v>7.4526237812500423E-2</v>
      </c>
      <c r="H37" s="234">
        <f>IF((H26+'Balance Sheet'!H24)&gt;0,H26/(H26+'Balance Sheet'!H24),0)</f>
        <v>5.170182359530847E-2</v>
      </c>
      <c r="I37" s="234">
        <f>IF((I26+'Balance Sheet'!I24)&gt;0,I26/(I26+'Balance Sheet'!I24),0)</f>
        <v>3.4166771909179543E-2</v>
      </c>
      <c r="J37" s="234">
        <f>IF((J26+'Balance Sheet'!J24)&gt;0,J26/(J26+'Balance Sheet'!J24),0)</f>
        <v>2.11013265283817E-2</v>
      </c>
      <c r="K37" s="234">
        <f>IF((K26+'Balance Sheet'!K24)&gt;0,K26/(K26+'Balance Sheet'!K24),0)</f>
        <v>1.3782296599465413E-2</v>
      </c>
      <c r="L37" s="234">
        <f>IF((L26+'Balance Sheet'!L24)&gt;0,L26/(L26+'Balance Sheet'!L24),0)</f>
        <v>8.6728777576656254E-3</v>
      </c>
      <c r="M37" s="234">
        <f>IF((M26+'Balance Sheet'!M24)&gt;0,M26/(M26+'Balance Sheet'!M24),0)</f>
        <v>5.8852474883217638E-3</v>
      </c>
      <c r="N37" s="234">
        <f>IF((N26+'Balance Sheet'!N24)&gt;0,N26/(N26+'Balance Sheet'!N24),0)</f>
        <v>3.8393912716246635E-3</v>
      </c>
      <c r="O37" s="234">
        <f>IF((O26+'Balance Sheet'!O24)&gt;0,O26/(O26+'Balance Sheet'!O24),0)</f>
        <v>2.3474319984054916E-3</v>
      </c>
    </row>
    <row r="38" spans="1:15" x14ac:dyDescent="0.3">
      <c r="A38" s="201" t="s">
        <v>457</v>
      </c>
      <c r="B38" s="324">
        <f>IF((B28+'Balance Sheet'!B24)&gt;0,B28/(B28+'Balance Sheet'!B24),0)</f>
        <v>5.0280898876404488E-2</v>
      </c>
      <c r="C38" s="324">
        <f>IF((C28+'Balance Sheet'!C24)&gt;0,C28/(C28+'Balance Sheet'!C24),0)</f>
        <v>8.5020242914979807E-3</v>
      </c>
      <c r="D38" s="324">
        <f>IF((D28+'Balance Sheet'!D24)&gt;0,D28/(D28+'Balance Sheet'!D24),0)</f>
        <v>-0.26001226755232404</v>
      </c>
      <c r="E38" s="324">
        <f>IF((E28+'Balance Sheet'!E24)&gt;0,E28/(E28+'Balance Sheet'!E24),0)</f>
        <v>-5.1890000971722874E-2</v>
      </c>
      <c r="F38" s="324">
        <f>IF((F28+'Balance Sheet'!F24)&gt;0,F28/(F28+'Balance Sheet'!F24),0)</f>
        <v>-2.9623582351671184E-2</v>
      </c>
      <c r="G38" s="324">
        <f>IF((G28+'Balance Sheet'!G24)&gt;0,G28/(G28+'Balance Sheet'!G24),0)</f>
        <v>-6.5672756450559588E-2</v>
      </c>
      <c r="H38" s="324">
        <f>IF((H28+'Balance Sheet'!H24)&gt;0,H28/(H28+'Balance Sheet'!H24),0)</f>
        <v>-0.23015941129512341</v>
      </c>
      <c r="I38" s="324">
        <f>IF((I28+'Balance Sheet'!I24)&gt;0,I28/(I28+'Balance Sheet'!I24),0)</f>
        <v>-0.46072685480865044</v>
      </c>
      <c r="J38" s="324">
        <f>IF((J28+'Balance Sheet'!J24)&gt;0,J28/(J28+'Balance Sheet'!J24),0)</f>
        <v>-0.78674418094423249</v>
      </c>
      <c r="K38" s="324">
        <f>IF((K28+'Balance Sheet'!K24)&gt;0,K28/(K28+'Balance Sheet'!K24),0)</f>
        <v>-1.2003830143564795</v>
      </c>
      <c r="L38" s="324">
        <f>IF((L28+'Balance Sheet'!L24)&gt;0,L28/(L28+'Balance Sheet'!L24),0)</f>
        <v>-1.747804000321072</v>
      </c>
      <c r="M38" s="324">
        <f>IF((M28+'Balance Sheet'!M24)&gt;0,M28/(M28+'Balance Sheet'!M24),0)</f>
        <v>-2.4581664683540123</v>
      </c>
      <c r="N38" s="324">
        <f>IF((N28+'Balance Sheet'!N24)&gt;0,N28/(N28+'Balance Sheet'!N24),0)</f>
        <v>-3.3993516904897265</v>
      </c>
      <c r="O38" s="324">
        <f>IF((O28+'Balance Sheet'!O24)&gt;0,O28/(O28+'Balance Sheet'!O24),0)</f>
        <v>-4.6053029312374472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F9A29-5D33-446A-8BDE-D4B513AB6938}">
  <sheetPr>
    <tabColor rgb="FF1B3A5C"/>
  </sheetPr>
  <dimension ref="A1:K43"/>
  <sheetViews>
    <sheetView showGridLines="0" topLeftCell="A21" workbookViewId="0">
      <selection activeCell="E26" sqref="E26"/>
    </sheetView>
  </sheetViews>
  <sheetFormatPr defaultRowHeight="14.4" x14ac:dyDescent="0.3"/>
  <cols>
    <col min="1" max="1" width="31.77734375" customWidth="1"/>
    <col min="2" max="10" width="17.5546875" customWidth="1"/>
    <col min="11" max="11" width="17.109375" customWidth="1"/>
  </cols>
  <sheetData>
    <row r="1" spans="1:11" ht="28.05" customHeight="1" x14ac:dyDescent="0.35">
      <c r="A1" s="176" t="s">
        <v>183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</row>
    <row r="2" spans="1:11" x14ac:dyDescent="0.3">
      <c r="A2" s="38" t="s">
        <v>492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</row>
    <row r="3" spans="1:11" x14ac:dyDescent="0.3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</row>
    <row r="4" spans="1:11" ht="22.05" customHeight="1" x14ac:dyDescent="0.3">
      <c r="A4" s="40" t="s">
        <v>184</v>
      </c>
      <c r="B4" s="40"/>
      <c r="C4" s="40"/>
      <c r="D4" s="40"/>
      <c r="E4" s="40"/>
      <c r="F4" s="40"/>
      <c r="G4" s="40"/>
      <c r="H4" s="40"/>
      <c r="I4" s="40"/>
      <c r="J4" s="40"/>
      <c r="K4" s="40"/>
    </row>
    <row r="5" spans="1:11" x14ac:dyDescent="0.3">
      <c r="A5" s="44" t="s">
        <v>185</v>
      </c>
      <c r="B5" s="326">
        <f>Assumptions!B30</f>
        <v>0.124</v>
      </c>
    </row>
    <row r="6" spans="1:11" x14ac:dyDescent="0.3">
      <c r="A6" s="39" t="s">
        <v>186</v>
      </c>
      <c r="B6" s="327">
        <f>Assumptions!B31</f>
        <v>6.5000000000000002E-2</v>
      </c>
    </row>
    <row r="7" spans="1:11" x14ac:dyDescent="0.3">
      <c r="A7" s="44" t="s">
        <v>98</v>
      </c>
      <c r="B7" s="44">
        <f>Assumptions!B90</f>
        <v>6.069</v>
      </c>
    </row>
    <row r="8" spans="1:11" x14ac:dyDescent="0.3">
      <c r="A8" s="39" t="s">
        <v>187</v>
      </c>
      <c r="B8" s="39">
        <f>'Balance Sheet'!E44</f>
        <v>-13.600000000000023</v>
      </c>
    </row>
    <row r="10" spans="1:11" ht="22.05" customHeight="1" x14ac:dyDescent="0.3">
      <c r="A10" s="40" t="s">
        <v>188</v>
      </c>
      <c r="B10" s="40"/>
      <c r="C10" s="40"/>
      <c r="D10" s="40"/>
      <c r="E10" s="40"/>
      <c r="F10" s="40"/>
      <c r="G10" s="40"/>
      <c r="H10" s="40"/>
      <c r="I10" s="40"/>
      <c r="J10" s="40"/>
      <c r="K10" s="40"/>
    </row>
    <row r="11" spans="1:11" x14ac:dyDescent="0.3">
      <c r="B11" s="178" t="s">
        <v>49</v>
      </c>
      <c r="C11" s="178" t="s">
        <v>50</v>
      </c>
      <c r="D11" s="178" t="s">
        <v>51</v>
      </c>
      <c r="E11" s="178" t="s">
        <v>52</v>
      </c>
      <c r="F11" s="178" t="s">
        <v>53</v>
      </c>
      <c r="G11" s="178" t="s">
        <v>486</v>
      </c>
      <c r="H11" s="178" t="s">
        <v>487</v>
      </c>
      <c r="I11" s="178" t="s">
        <v>488</v>
      </c>
      <c r="J11" s="178" t="s">
        <v>489</v>
      </c>
      <c r="K11" s="178" t="s">
        <v>490</v>
      </c>
    </row>
    <row r="12" spans="1:11" x14ac:dyDescent="0.3">
      <c r="A12" s="181" t="s">
        <v>189</v>
      </c>
      <c r="B12" s="325">
        <f>'Cash Flow Statement'!F34</f>
        <v>-6.066565956027361</v>
      </c>
      <c r="C12" s="325">
        <f>'Cash Flow Statement'!G34</f>
        <v>84.164362566758598</v>
      </c>
      <c r="D12" s="325">
        <f>'Cash Flow Statement'!H34</f>
        <v>300.63501080438175</v>
      </c>
      <c r="E12" s="325">
        <f>'Cash Flow Statement'!I34</f>
        <v>438.30787911846096</v>
      </c>
      <c r="F12" s="325">
        <f>'Cash Flow Statement'!J34</f>
        <v>611.82960300307775</v>
      </c>
      <c r="G12" s="308">
        <f>'Cash Flow Statement'!K34</f>
        <v>764.95365027087018</v>
      </c>
      <c r="H12" s="308">
        <f>'Cash Flow Statement'!L34</f>
        <v>957.29639808420507</v>
      </c>
      <c r="I12" s="308">
        <f>'Cash Flow Statement'!M34</f>
        <v>1150.3516403878111</v>
      </c>
      <c r="J12" s="308">
        <f>'Cash Flow Statement'!N34</f>
        <v>1369.085408472986</v>
      </c>
      <c r="K12" s="308">
        <f>'Cash Flow Statement'!O34</f>
        <v>1570.7906376878282</v>
      </c>
    </row>
    <row r="13" spans="1:11" x14ac:dyDescent="0.3">
      <c r="A13" s="44" t="s">
        <v>190</v>
      </c>
      <c r="B13" s="44">
        <v>1</v>
      </c>
      <c r="C13" s="44">
        <v>2</v>
      </c>
      <c r="D13" s="44">
        <v>3</v>
      </c>
      <c r="E13" s="44">
        <v>4</v>
      </c>
      <c r="F13" s="44">
        <v>5</v>
      </c>
      <c r="G13" s="44">
        <v>6</v>
      </c>
      <c r="H13" s="44">
        <v>7</v>
      </c>
      <c r="I13" s="44">
        <v>8</v>
      </c>
      <c r="J13" s="44">
        <v>9</v>
      </c>
      <c r="K13" s="44">
        <v>10</v>
      </c>
    </row>
    <row r="14" spans="1:11" x14ac:dyDescent="0.3">
      <c r="A14" s="39" t="s">
        <v>191</v>
      </c>
      <c r="B14" s="183">
        <f t="shared" ref="B14:K14" si="0">1/(1+$B$5)^B13</f>
        <v>0.88967971530249101</v>
      </c>
      <c r="C14" s="183">
        <f t="shared" si="0"/>
        <v>0.79152999582072148</v>
      </c>
      <c r="D14" s="183">
        <f t="shared" si="0"/>
        <v>0.70420818133516139</v>
      </c>
      <c r="E14" s="183">
        <f t="shared" si="0"/>
        <v>0.62651973428395136</v>
      </c>
      <c r="F14" s="183">
        <f t="shared" si="0"/>
        <v>0.55740189882913815</v>
      </c>
      <c r="G14" s="183">
        <f t="shared" si="0"/>
        <v>0.49590916265937551</v>
      </c>
      <c r="H14" s="183">
        <f t="shared" si="0"/>
        <v>0.44120032265068998</v>
      </c>
      <c r="I14" s="183">
        <f t="shared" si="0"/>
        <v>0.39252697744723297</v>
      </c>
      <c r="J14" s="183">
        <f t="shared" si="0"/>
        <v>0.34922328954380155</v>
      </c>
      <c r="K14" s="183">
        <f t="shared" si="0"/>
        <v>0.31069687681832875</v>
      </c>
    </row>
    <row r="15" spans="1:11" x14ac:dyDescent="0.3">
      <c r="A15" s="44" t="s">
        <v>192</v>
      </c>
      <c r="B15" s="45">
        <f t="shared" ref="B15:K15" si="1">B12*B14</f>
        <v>-5.3973006726222064</v>
      </c>
      <c r="C15" s="45">
        <f t="shared" si="1"/>
        <v>66.618617550720117</v>
      </c>
      <c r="D15" s="45">
        <f t="shared" si="1"/>
        <v>211.70963420423027</v>
      </c>
      <c r="E15" s="45">
        <f t="shared" si="1"/>
        <v>274.60853595986043</v>
      </c>
      <c r="F15" s="45">
        <f t="shared" si="1"/>
        <v>341.03498247379332</v>
      </c>
      <c r="G15" s="45">
        <f t="shared" si="1"/>
        <v>379.34752417906003</v>
      </c>
      <c r="H15" s="45">
        <f t="shared" si="1"/>
        <v>422.35947970709464</v>
      </c>
      <c r="I15" s="45">
        <f t="shared" si="1"/>
        <v>451.54405240289378</v>
      </c>
      <c r="J15" s="45">
        <f t="shared" si="1"/>
        <v>478.11651001335542</v>
      </c>
      <c r="K15" s="45">
        <f t="shared" si="1"/>
        <v>488.0397452650792</v>
      </c>
    </row>
    <row r="17" spans="1:11" ht="22.05" customHeight="1" x14ac:dyDescent="0.3">
      <c r="A17" s="40" t="s">
        <v>193</v>
      </c>
      <c r="B17" s="40"/>
      <c r="C17" s="40"/>
      <c r="D17" s="40"/>
      <c r="E17" s="40"/>
      <c r="F17" s="40"/>
      <c r="G17" s="40"/>
      <c r="H17" s="40"/>
      <c r="I17" s="40"/>
      <c r="J17" s="40"/>
      <c r="K17" s="40"/>
    </row>
    <row r="18" spans="1:11" x14ac:dyDescent="0.3">
      <c r="A18" s="39" t="s">
        <v>491</v>
      </c>
      <c r="B18" s="183">
        <f>K12</f>
        <v>1570.7906376878282</v>
      </c>
    </row>
    <row r="19" spans="1:11" x14ac:dyDescent="0.3">
      <c r="A19" s="1" t="s">
        <v>194</v>
      </c>
      <c r="B19" s="13">
        <f>B18*(1+B6)/(B5-B6)</f>
        <v>28354.102188771813</v>
      </c>
    </row>
    <row r="20" spans="1:11" x14ac:dyDescent="0.3">
      <c r="A20" s="39" t="s">
        <v>195</v>
      </c>
      <c r="B20" s="307">
        <f>B19*K14</f>
        <v>8809.530995039142</v>
      </c>
    </row>
    <row r="22" spans="1:11" ht="22.05" customHeight="1" x14ac:dyDescent="0.3">
      <c r="A22" s="40" t="s">
        <v>196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</row>
    <row r="23" spans="1:11" x14ac:dyDescent="0.3">
      <c r="A23" s="342" t="s">
        <v>197</v>
      </c>
      <c r="B23" s="343">
        <f>SUM(B15:K15)</f>
        <v>3107.9817810834647</v>
      </c>
    </row>
    <row r="24" spans="1:11" x14ac:dyDescent="0.3">
      <c r="A24" s="314" t="s">
        <v>195</v>
      </c>
      <c r="B24" s="344">
        <f>B20</f>
        <v>8809.530995039142</v>
      </c>
    </row>
    <row r="25" spans="1:11" x14ac:dyDescent="0.3">
      <c r="A25" s="192" t="s">
        <v>198</v>
      </c>
      <c r="B25" s="200">
        <f>B23+B24</f>
        <v>11917.512776122607</v>
      </c>
    </row>
    <row r="26" spans="1:11" x14ac:dyDescent="0.3">
      <c r="A26" s="314" t="s">
        <v>199</v>
      </c>
      <c r="B26" s="314">
        <f>-B8</f>
        <v>13.600000000000023</v>
      </c>
    </row>
    <row r="27" spans="1:11" x14ac:dyDescent="0.3">
      <c r="A27" s="241" t="s">
        <v>200</v>
      </c>
      <c r="B27" s="243">
        <f>B25+B26</f>
        <v>11931.112776122607</v>
      </c>
    </row>
    <row r="28" spans="1:11" ht="15.6" x14ac:dyDescent="0.3">
      <c r="A28" s="345" t="s">
        <v>201</v>
      </c>
      <c r="B28" s="346">
        <f>B27/B7</f>
        <v>1965.9108215723525</v>
      </c>
    </row>
    <row r="30" spans="1:11" x14ac:dyDescent="0.3">
      <c r="A30" s="328" t="s">
        <v>202</v>
      </c>
      <c r="B30" s="328">
        <f>Assumptions!B92</f>
        <v>2350</v>
      </c>
    </row>
    <row r="31" spans="1:11" x14ac:dyDescent="0.3">
      <c r="A31" s="1" t="s">
        <v>203</v>
      </c>
      <c r="B31" s="17">
        <f>B28/B30-1</f>
        <v>-0.16344220358623296</v>
      </c>
    </row>
    <row r="33" spans="1:11" x14ac:dyDescent="0.3">
      <c r="A33" t="s">
        <v>204</v>
      </c>
      <c r="B33" s="14">
        <f>B24/B25</f>
        <v>0.73920885679178983</v>
      </c>
    </row>
    <row r="35" spans="1:11" ht="22.05" customHeight="1" thickBot="1" x14ac:dyDescent="0.35">
      <c r="A35" s="40" t="s">
        <v>205</v>
      </c>
      <c r="B35" s="40"/>
      <c r="C35" s="40"/>
      <c r="D35" s="434" t="s">
        <v>479</v>
      </c>
      <c r="E35" s="434"/>
      <c r="F35" s="40"/>
      <c r="G35" s="40"/>
      <c r="H35" s="40"/>
      <c r="I35" s="40"/>
      <c r="J35" s="40"/>
      <c r="K35" s="40"/>
    </row>
    <row r="36" spans="1:11" x14ac:dyDescent="0.3">
      <c r="A36" s="339">
        <f>B28</f>
        <v>1965.9108215723525</v>
      </c>
      <c r="B36" s="340">
        <v>0.04</v>
      </c>
      <c r="C36" s="340">
        <v>4.4999999999999998E-2</v>
      </c>
      <c r="D36" s="340">
        <v>0.05</v>
      </c>
      <c r="E36" s="340">
        <v>5.5E-2</v>
      </c>
      <c r="F36" s="340">
        <v>0.06</v>
      </c>
      <c r="G36" s="340">
        <v>6.5000000000000002E-2</v>
      </c>
      <c r="H36" s="341">
        <v>7.0000000000000007E-2</v>
      </c>
    </row>
    <row r="37" spans="1:11" x14ac:dyDescent="0.3">
      <c r="A37" s="330">
        <v>0.11</v>
      </c>
      <c r="B37" s="331">
        <f t="dataTable" ref="B37:H43" dt2D="1" dtr="1" r1="B6" r2="B5"/>
        <v>1915.4434782729115</v>
      </c>
      <c r="C37" s="331">
        <v>2026.6302101634358</v>
      </c>
      <c r="D37" s="331">
        <v>2156.3480640357143</v>
      </c>
      <c r="E37" s="331">
        <v>2309.6509822484068</v>
      </c>
      <c r="F37" s="331">
        <v>2493.6144841036385</v>
      </c>
      <c r="G37" s="331">
        <v>2718.4587641489211</v>
      </c>
      <c r="H37" s="332">
        <v>2999.5141142055245</v>
      </c>
    </row>
    <row r="38" spans="1:11" x14ac:dyDescent="0.3">
      <c r="A38" s="330">
        <v>0.113</v>
      </c>
      <c r="B38" s="333">
        <v>1814.7384586084131</v>
      </c>
      <c r="C38" s="333">
        <v>1914.2063517467107</v>
      </c>
      <c r="D38" s="333">
        <v>2029.4627993514043</v>
      </c>
      <c r="E38" s="333">
        <v>2164.5910482672521</v>
      </c>
      <c r="F38" s="333">
        <v>2325.2151932049578</v>
      </c>
      <c r="G38" s="333">
        <v>2519.3027016713527</v>
      </c>
      <c r="H38" s="334">
        <v>2758.5268400136538</v>
      </c>
    </row>
    <row r="39" spans="1:11" x14ac:dyDescent="0.3">
      <c r="A39" s="330">
        <v>0.11600000000000001</v>
      </c>
      <c r="B39" s="331">
        <v>1722.3709921109869</v>
      </c>
      <c r="C39" s="331">
        <v>1811.6853907702048</v>
      </c>
      <c r="D39" s="331">
        <v>1914.532274074759</v>
      </c>
      <c r="E39" s="331">
        <v>2034.2393021833382</v>
      </c>
      <c r="F39" s="331">
        <v>2175.3225853113067</v>
      </c>
      <c r="G39" s="331">
        <v>2344.0692572878966</v>
      </c>
      <c r="H39" s="332">
        <v>2549.4999883898317</v>
      </c>
    </row>
    <row r="40" spans="1:11" x14ac:dyDescent="0.3">
      <c r="A40" s="330">
        <v>0.12</v>
      </c>
      <c r="B40" s="333">
        <v>1610.5481669385922</v>
      </c>
      <c r="C40" s="333">
        <v>1688.326336200063</v>
      </c>
      <c r="D40" s="333">
        <v>1777.2156724988868</v>
      </c>
      <c r="E40" s="333">
        <v>1879.7802913052215</v>
      </c>
      <c r="F40" s="333">
        <v>1999.4390132459459</v>
      </c>
      <c r="G40" s="333">
        <v>2140.85386644862</v>
      </c>
      <c r="H40" s="334">
        <v>2310.5516902918293</v>
      </c>
    </row>
    <row r="41" spans="1:11" x14ac:dyDescent="0.3">
      <c r="A41" s="330">
        <v>0.124</v>
      </c>
      <c r="B41" s="331">
        <v>1509.9651717288748</v>
      </c>
      <c r="C41" s="331">
        <v>1578.068446009293</v>
      </c>
      <c r="D41" s="331">
        <v>1655.3748654627407</v>
      </c>
      <c r="E41" s="331">
        <v>1743.885113822485</v>
      </c>
      <c r="F41" s="331">
        <v>1846.2250884884395</v>
      </c>
      <c r="G41" s="335">
        <v>1965.9108215723525</v>
      </c>
      <c r="H41" s="332">
        <v>2107.760579301435</v>
      </c>
    </row>
    <row r="42" spans="1:11" x14ac:dyDescent="0.3">
      <c r="A42" s="330">
        <v>0.128</v>
      </c>
      <c r="B42" s="333">
        <v>1419.0723216908016</v>
      </c>
      <c r="C42" s="333">
        <v>1479.0001458279278</v>
      </c>
      <c r="D42" s="333">
        <v>1546.6110243416088</v>
      </c>
      <c r="E42" s="333">
        <v>1623.4836670352456</v>
      </c>
      <c r="F42" s="333">
        <v>1711.661110125006</v>
      </c>
      <c r="G42" s="333">
        <v>1813.8349727528232</v>
      </c>
      <c r="H42" s="334">
        <v>1933.6250185923338</v>
      </c>
    </row>
    <row r="43" spans="1:11" ht="15" thickBot="1" x14ac:dyDescent="0.35">
      <c r="A43" s="336">
        <v>0.13400000000000001</v>
      </c>
      <c r="B43" s="337">
        <v>1298.1626416187487</v>
      </c>
      <c r="C43" s="337">
        <v>1348.0437183632685</v>
      </c>
      <c r="D43" s="337">
        <v>1403.8630185297548</v>
      </c>
      <c r="E43" s="337">
        <v>1466.7480528945307</v>
      </c>
      <c r="F43" s="337">
        <v>1538.1310648761685</v>
      </c>
      <c r="G43" s="337">
        <v>1619.8594409131151</v>
      </c>
      <c r="H43" s="338">
        <v>1714.357875705836</v>
      </c>
    </row>
  </sheetData>
  <mergeCells count="1">
    <mergeCell ref="D35:E35"/>
  </mergeCells>
  <conditionalFormatting sqref="B37:H43">
    <cfRule type="colorScale" priority="1">
      <colorScale>
        <cfvo type="min"/>
        <cfvo type="percentile" val="50"/>
        <cfvo type="max"/>
        <color rgb="FFF8D7DA"/>
        <color rgb="FFFFF3CD"/>
        <color rgb="FFD4EDDA"/>
      </colorScale>
    </cfRule>
  </conditionalFormatting>
  <pageMargins left="0.7" right="0.7" top="0.75" bottom="0.75" header="0.3" footer="0.3"/>
  <ignoredErrors>
    <ignoredError sqref="B26" formula="1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1987E-BCA8-493A-9C91-DA857F5E95EC}">
  <sheetPr>
    <tabColor rgb="FF1B3A5C"/>
  </sheetPr>
  <dimension ref="A1:H44"/>
  <sheetViews>
    <sheetView showGridLines="0" workbookViewId="0"/>
  </sheetViews>
  <sheetFormatPr defaultRowHeight="14.4" x14ac:dyDescent="0.3"/>
  <cols>
    <col min="1" max="1" width="37" customWidth="1"/>
    <col min="2" max="4" width="20.33203125" customWidth="1"/>
    <col min="5" max="5" width="26.44140625" customWidth="1"/>
    <col min="6" max="8" width="20.33203125" customWidth="1"/>
  </cols>
  <sheetData>
    <row r="1" spans="1:8" ht="28.05" customHeight="1" x14ac:dyDescent="0.35">
      <c r="A1" s="176" t="s">
        <v>206</v>
      </c>
      <c r="B1" s="165"/>
      <c r="C1" s="165"/>
      <c r="D1" s="165"/>
      <c r="E1" s="165"/>
      <c r="F1" s="165"/>
      <c r="G1" s="165"/>
      <c r="H1" s="165"/>
    </row>
    <row r="2" spans="1:8" x14ac:dyDescent="0.3">
      <c r="A2" s="38" t="s">
        <v>207</v>
      </c>
      <c r="B2" s="177"/>
      <c r="C2" s="177"/>
      <c r="D2" s="177"/>
      <c r="E2" s="177"/>
      <c r="F2" s="177"/>
      <c r="G2" s="177"/>
      <c r="H2" s="177"/>
    </row>
    <row r="3" spans="1:8" x14ac:dyDescent="0.3">
      <c r="A3" s="44"/>
      <c r="B3" s="44"/>
      <c r="C3" s="44"/>
      <c r="D3" s="44"/>
      <c r="E3" s="44"/>
      <c r="F3" s="44"/>
      <c r="G3" s="44"/>
      <c r="H3" s="44"/>
    </row>
    <row r="4" spans="1:8" x14ac:dyDescent="0.3">
      <c r="A4" s="353" t="s">
        <v>208</v>
      </c>
      <c r="B4" s="354" t="s">
        <v>209</v>
      </c>
      <c r="C4" s="354" t="s">
        <v>210</v>
      </c>
      <c r="D4" s="354" t="s">
        <v>211</v>
      </c>
      <c r="E4" s="354" t="s">
        <v>212</v>
      </c>
      <c r="F4" s="354" t="s">
        <v>213</v>
      </c>
      <c r="G4" s="354" t="s">
        <v>214</v>
      </c>
      <c r="H4" s="355" t="s">
        <v>215</v>
      </c>
    </row>
    <row r="5" spans="1:8" ht="22.05" customHeight="1" x14ac:dyDescent="0.3">
      <c r="A5" s="356" t="s">
        <v>216</v>
      </c>
      <c r="B5" s="357"/>
      <c r="C5" s="357"/>
      <c r="D5" s="357"/>
      <c r="E5" s="358" t="s">
        <v>588</v>
      </c>
      <c r="F5" s="357"/>
      <c r="G5" s="357"/>
      <c r="H5" s="359"/>
    </row>
    <row r="6" spans="1:8" x14ac:dyDescent="0.3">
      <c r="A6" s="360" t="s">
        <v>217</v>
      </c>
      <c r="B6" s="361">
        <v>14269</v>
      </c>
      <c r="C6" s="361">
        <v>2231</v>
      </c>
      <c r="D6" s="361">
        <v>390</v>
      </c>
      <c r="E6" s="361">
        <v>233</v>
      </c>
      <c r="F6" s="362">
        <f>B6/E6</f>
        <v>61.240343347639488</v>
      </c>
      <c r="G6" s="361">
        <v>35</v>
      </c>
      <c r="H6" s="363">
        <v>6.4</v>
      </c>
    </row>
    <row r="7" spans="1:8" x14ac:dyDescent="0.3">
      <c r="A7" s="364" t="s">
        <v>218</v>
      </c>
      <c r="B7" s="365">
        <v>3288</v>
      </c>
      <c r="C7" s="365">
        <v>1225</v>
      </c>
      <c r="D7" s="365">
        <v>214</v>
      </c>
      <c r="E7" s="365">
        <v>136</v>
      </c>
      <c r="F7" s="366">
        <f>B7/E7</f>
        <v>24.176470588235293</v>
      </c>
      <c r="G7" s="365">
        <v>14</v>
      </c>
      <c r="H7" s="367">
        <v>2.7</v>
      </c>
    </row>
    <row r="8" spans="1:8" x14ac:dyDescent="0.3">
      <c r="A8" s="360" t="s">
        <v>587</v>
      </c>
      <c r="B8" s="361">
        <v>3285</v>
      </c>
      <c r="C8" s="361">
        <v>1725</v>
      </c>
      <c r="D8" s="361">
        <v>299</v>
      </c>
      <c r="E8" s="361">
        <v>215</v>
      </c>
      <c r="F8" s="362">
        <f>B8/E8</f>
        <v>15.279069767441861</v>
      </c>
      <c r="G8" s="361">
        <v>9.5</v>
      </c>
      <c r="H8" s="363">
        <v>1.65</v>
      </c>
    </row>
    <row r="9" spans="1:8" x14ac:dyDescent="0.3">
      <c r="A9" s="364" t="s">
        <v>219</v>
      </c>
      <c r="B9" s="365">
        <v>854</v>
      </c>
      <c r="C9" s="365">
        <v>760</v>
      </c>
      <c r="D9" s="365">
        <v>19</v>
      </c>
      <c r="E9" s="365">
        <v>-1</v>
      </c>
      <c r="F9" s="368" t="s">
        <v>220</v>
      </c>
      <c r="G9" s="365">
        <v>45.1</v>
      </c>
      <c r="H9" s="367">
        <v>1.1000000000000001</v>
      </c>
    </row>
    <row r="10" spans="1:8" x14ac:dyDescent="0.3">
      <c r="A10" s="360" t="s">
        <v>221</v>
      </c>
      <c r="B10" s="361">
        <v>639</v>
      </c>
      <c r="C10" s="361">
        <v>546</v>
      </c>
      <c r="D10" s="361">
        <v>59</v>
      </c>
      <c r="E10" s="361">
        <v>38</v>
      </c>
      <c r="F10" s="362">
        <f>B10/E10</f>
        <v>16.815789473684209</v>
      </c>
      <c r="G10" s="361">
        <v>10.199999999999999</v>
      </c>
      <c r="H10" s="363">
        <v>1.3</v>
      </c>
    </row>
    <row r="11" spans="1:8" x14ac:dyDescent="0.3">
      <c r="A11" s="369"/>
      <c r="B11" s="370"/>
      <c r="C11" s="370"/>
      <c r="D11" s="370"/>
      <c r="E11" s="370"/>
      <c r="F11" s="370"/>
      <c r="G11" s="370"/>
      <c r="H11" s="371"/>
    </row>
    <row r="12" spans="1:8" ht="22.05" customHeight="1" x14ac:dyDescent="0.3">
      <c r="A12" s="356" t="s">
        <v>222</v>
      </c>
      <c r="B12" s="357"/>
      <c r="C12" s="357"/>
      <c r="D12" s="357"/>
      <c r="E12" s="357"/>
      <c r="F12" s="357"/>
      <c r="G12" s="357"/>
      <c r="H12" s="359"/>
    </row>
    <row r="13" spans="1:8" x14ac:dyDescent="0.3">
      <c r="A13" s="364" t="s">
        <v>223</v>
      </c>
      <c r="B13" s="365">
        <v>154238</v>
      </c>
      <c r="C13" s="365">
        <v>14159</v>
      </c>
      <c r="D13" s="365">
        <v>3313</v>
      </c>
      <c r="E13" s="365">
        <v>2314</v>
      </c>
      <c r="F13" s="366">
        <f>B13/E13</f>
        <v>66.6542783059637</v>
      </c>
      <c r="G13" s="365">
        <v>43</v>
      </c>
      <c r="H13" s="367">
        <v>11</v>
      </c>
    </row>
    <row r="14" spans="1:8" x14ac:dyDescent="0.3">
      <c r="A14" s="360" t="s">
        <v>224</v>
      </c>
      <c r="B14" s="361">
        <v>230000</v>
      </c>
      <c r="C14" s="361">
        <v>34696</v>
      </c>
      <c r="D14" s="361">
        <v>6346</v>
      </c>
      <c r="E14" s="361">
        <v>5412</v>
      </c>
      <c r="F14" s="362">
        <f>B14/E14</f>
        <v>42.498152254249817</v>
      </c>
      <c r="G14" s="361">
        <v>34</v>
      </c>
      <c r="H14" s="363">
        <v>6.7</v>
      </c>
    </row>
    <row r="15" spans="1:8" x14ac:dyDescent="0.3">
      <c r="A15" s="372" t="s">
        <v>225</v>
      </c>
      <c r="B15" s="373">
        <v>62428</v>
      </c>
      <c r="C15" s="373">
        <v>5902</v>
      </c>
      <c r="D15" s="373">
        <v>1858</v>
      </c>
      <c r="E15" s="373">
        <v>1327</v>
      </c>
      <c r="F15" s="374">
        <f>B15/E15</f>
        <v>47.044461190655618</v>
      </c>
      <c r="G15" s="373">
        <v>32</v>
      </c>
      <c r="H15" s="375">
        <v>10.5</v>
      </c>
    </row>
    <row r="16" spans="1:8" x14ac:dyDescent="0.3">
      <c r="F16" s="12"/>
    </row>
    <row r="17" spans="1:8" ht="22.05" customHeight="1" x14ac:dyDescent="0.3">
      <c r="A17" s="40" t="s">
        <v>226</v>
      </c>
      <c r="B17" s="40"/>
      <c r="C17" s="40"/>
      <c r="D17" s="40"/>
      <c r="E17" s="40"/>
      <c r="F17" s="347"/>
      <c r="G17" s="40"/>
      <c r="H17" s="40"/>
    </row>
    <row r="18" spans="1:8" x14ac:dyDescent="0.3">
      <c r="A18" s="225" t="s">
        <v>227</v>
      </c>
      <c r="B18" s="225">
        <f>MEDIAN(B7:B10)</f>
        <v>2069.5</v>
      </c>
      <c r="C18" s="225">
        <f>MEDIAN(C7:C10)</f>
        <v>992.5</v>
      </c>
      <c r="D18" s="225">
        <f>MEDIAN(D7:D10)</f>
        <v>136.5</v>
      </c>
      <c r="E18" s="225">
        <f>MEDIAN(E7:E10)</f>
        <v>87</v>
      </c>
      <c r="F18" s="236">
        <f>MEDIAN(F7,F10)</f>
        <v>20.496130030959751</v>
      </c>
      <c r="G18" s="225">
        <f>MEDIAN(G7:G10)</f>
        <v>12.1</v>
      </c>
      <c r="H18" s="225">
        <f>MEDIAN(H7:H10)</f>
        <v>1.4750000000000001</v>
      </c>
    </row>
    <row r="19" spans="1:8" x14ac:dyDescent="0.3">
      <c r="A19" s="225" t="s">
        <v>228</v>
      </c>
      <c r="B19" s="225">
        <f>MEDIAN(B13:B15)</f>
        <v>154238</v>
      </c>
      <c r="C19" s="225">
        <f t="shared" ref="C19:H19" si="0">MEDIAN(C13:C15)</f>
        <v>14159</v>
      </c>
      <c r="D19" s="225">
        <f t="shared" si="0"/>
        <v>3313</v>
      </c>
      <c r="E19" s="225">
        <f t="shared" si="0"/>
        <v>2314</v>
      </c>
      <c r="F19" s="236">
        <f t="shared" si="0"/>
        <v>47.044461190655618</v>
      </c>
      <c r="G19" s="225">
        <f t="shared" si="0"/>
        <v>34</v>
      </c>
      <c r="H19" s="225">
        <f t="shared" si="0"/>
        <v>10.5</v>
      </c>
    </row>
    <row r="21" spans="1:8" ht="22.05" customHeight="1" x14ac:dyDescent="0.3">
      <c r="A21" s="40" t="s">
        <v>229</v>
      </c>
      <c r="B21" s="40"/>
      <c r="C21" s="40"/>
      <c r="D21" s="40"/>
      <c r="E21" s="40"/>
      <c r="F21" s="40"/>
      <c r="G21" s="40"/>
      <c r="H21" s="40"/>
    </row>
    <row r="22" spans="1:8" x14ac:dyDescent="0.3">
      <c r="A22" s="166" t="s">
        <v>230</v>
      </c>
      <c r="B22" s="166" t="s">
        <v>231</v>
      </c>
      <c r="C22" s="166" t="s">
        <v>232</v>
      </c>
      <c r="D22" s="166" t="s">
        <v>233</v>
      </c>
    </row>
    <row r="23" spans="1:8" x14ac:dyDescent="0.3">
      <c r="A23" s="44" t="s">
        <v>234</v>
      </c>
      <c r="B23" s="44">
        <f>G18</f>
        <v>12.1</v>
      </c>
      <c r="C23" s="44">
        <f>B23*$D$6</f>
        <v>4719</v>
      </c>
      <c r="D23" s="45">
        <f>(C23-'Balance Sheet'!F44)/Assumptions!B90</f>
        <v>783.75163146768693</v>
      </c>
    </row>
    <row r="24" spans="1:8" x14ac:dyDescent="0.3">
      <c r="A24" s="39" t="s">
        <v>235</v>
      </c>
      <c r="B24" s="39">
        <f>G19</f>
        <v>34</v>
      </c>
      <c r="C24" s="39">
        <f>B24*$D$6</f>
        <v>13260</v>
      </c>
      <c r="D24" s="183">
        <f>(C24-'Balance Sheet'!F44)/Assumptions!B90</f>
        <v>2191.0674989911672</v>
      </c>
    </row>
    <row r="25" spans="1:8" x14ac:dyDescent="0.3">
      <c r="A25" s="44" t="s">
        <v>236</v>
      </c>
      <c r="B25" s="45">
        <f>F18</f>
        <v>20.496130030959751</v>
      </c>
      <c r="C25" s="348" t="s">
        <v>237</v>
      </c>
      <c r="D25" s="45">
        <f>B25*'Income Statement'!E29</f>
        <v>721.18054954899503</v>
      </c>
    </row>
    <row r="26" spans="1:8" x14ac:dyDescent="0.3">
      <c r="A26" s="39" t="s">
        <v>238</v>
      </c>
      <c r="B26" s="183">
        <f>F19</f>
        <v>47.044461190655618</v>
      </c>
      <c r="C26" s="349" t="s">
        <v>237</v>
      </c>
      <c r="D26" s="183">
        <f>B26*'Income Statement'!E29</f>
        <v>1655.3149459661531</v>
      </c>
    </row>
    <row r="29" spans="1:8" ht="22.05" customHeight="1" x14ac:dyDescent="0.3">
      <c r="A29" s="40" t="s">
        <v>590</v>
      </c>
      <c r="B29" s="40"/>
      <c r="C29" s="40"/>
      <c r="D29" s="40"/>
      <c r="E29" s="40"/>
      <c r="F29" s="40"/>
      <c r="G29" s="40"/>
      <c r="H29" s="40"/>
    </row>
    <row r="30" spans="1:8" x14ac:dyDescent="0.3">
      <c r="A30" s="353" t="s">
        <v>230</v>
      </c>
      <c r="B30" s="354" t="s">
        <v>233</v>
      </c>
      <c r="C30" s="354" t="s">
        <v>591</v>
      </c>
      <c r="D30" s="355" t="s">
        <v>592</v>
      </c>
    </row>
    <row r="31" spans="1:8" x14ac:dyDescent="0.3">
      <c r="A31" s="376" t="s">
        <v>234</v>
      </c>
      <c r="B31" s="377">
        <f>D23</f>
        <v>783.75163146768693</v>
      </c>
      <c r="C31" s="378">
        <v>0.1</v>
      </c>
      <c r="D31" s="379">
        <f>B31*C31</f>
        <v>78.375163146768699</v>
      </c>
    </row>
    <row r="32" spans="1:8" x14ac:dyDescent="0.3">
      <c r="A32" s="380" t="s">
        <v>235</v>
      </c>
      <c r="B32" s="381">
        <f>D24</f>
        <v>2191.0674989911672</v>
      </c>
      <c r="C32" s="382">
        <v>0.4</v>
      </c>
      <c r="D32" s="383">
        <f>B32*C32</f>
        <v>876.42699959646689</v>
      </c>
    </row>
    <row r="33" spans="1:4" x14ac:dyDescent="0.3">
      <c r="A33" s="376" t="s">
        <v>236</v>
      </c>
      <c r="B33" s="377">
        <f>D25</f>
        <v>721.18054954899503</v>
      </c>
      <c r="C33" s="378">
        <v>0.15</v>
      </c>
      <c r="D33" s="379">
        <f>B33*C33</f>
        <v>108.17708243234925</v>
      </c>
    </row>
    <row r="34" spans="1:4" x14ac:dyDescent="0.3">
      <c r="A34" s="380" t="s">
        <v>238</v>
      </c>
      <c r="B34" s="381">
        <f>D26</f>
        <v>1655.3149459661531</v>
      </c>
      <c r="C34" s="382">
        <v>0.35</v>
      </c>
      <c r="D34" s="383">
        <f>B34*C34</f>
        <v>579.36023108815357</v>
      </c>
    </row>
    <row r="35" spans="1:4" x14ac:dyDescent="0.3">
      <c r="A35" s="384" t="s">
        <v>593</v>
      </c>
      <c r="B35" s="385"/>
      <c r="C35" s="386">
        <f>SUM(C31:C34)</f>
        <v>1</v>
      </c>
      <c r="D35" s="387"/>
    </row>
    <row r="36" spans="1:4" ht="15" thickBot="1" x14ac:dyDescent="0.35">
      <c r="A36" s="388" t="s">
        <v>594</v>
      </c>
      <c r="B36" s="389"/>
      <c r="C36" s="389"/>
      <c r="D36" s="390">
        <f>SUM(D31:D34)</f>
        <v>1642.3394762637383</v>
      </c>
    </row>
    <row r="38" spans="1:4" x14ac:dyDescent="0.3">
      <c r="A38" s="328" t="s">
        <v>100</v>
      </c>
      <c r="B38" s="328"/>
      <c r="C38" s="328"/>
      <c r="D38" s="350">
        <f>Assumptions!B92</f>
        <v>2350</v>
      </c>
    </row>
    <row r="39" spans="1:4" x14ac:dyDescent="0.3">
      <c r="A39" s="351" t="s">
        <v>595</v>
      </c>
      <c r="B39" s="306"/>
      <c r="C39" s="306"/>
      <c r="D39" s="352">
        <f>D36/D38-1</f>
        <v>-0.30113213776011138</v>
      </c>
    </row>
    <row r="41" spans="1:4" x14ac:dyDescent="0.3">
      <c r="A41" s="69" t="s">
        <v>596</v>
      </c>
    </row>
    <row r="42" spans="1:4" x14ac:dyDescent="0.3">
      <c r="A42" s="35" t="s">
        <v>599</v>
      </c>
    </row>
    <row r="43" spans="1:4" x14ac:dyDescent="0.3">
      <c r="A43" s="35" t="s">
        <v>597</v>
      </c>
    </row>
    <row r="44" spans="1:4" x14ac:dyDescent="0.3">
      <c r="A44" s="35" t="s">
        <v>598</v>
      </c>
    </row>
  </sheetData>
  <pageMargins left="0.7" right="0.7" top="0.75" bottom="0.75" header="0.3" footer="0.3"/>
  <ignoredErrors>
    <ignoredError sqref="E18 G18:H18 B18:D18" formulaRange="1"/>
    <ignoredError sqref="F18" formula="1" formulaRange="1"/>
  </ignoredErrors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1D489-936F-405A-BF29-5638057242C6}">
  <sheetPr>
    <tabColor rgb="FF1B3A5C"/>
  </sheetPr>
  <dimension ref="A1:I36"/>
  <sheetViews>
    <sheetView showGridLines="0" workbookViewId="0"/>
  </sheetViews>
  <sheetFormatPr defaultRowHeight="14.4" x14ac:dyDescent="0.3"/>
  <cols>
    <col min="1" max="1" width="35.6640625" customWidth="1"/>
    <col min="2" max="9" width="20.33203125" customWidth="1"/>
  </cols>
  <sheetData>
    <row r="1" spans="1:9" ht="28.05" customHeight="1" x14ac:dyDescent="0.35">
      <c r="A1" s="176" t="s">
        <v>239</v>
      </c>
      <c r="B1" s="165"/>
      <c r="C1" s="165"/>
      <c r="D1" s="165"/>
      <c r="E1" s="165"/>
      <c r="F1" s="165"/>
      <c r="G1" s="165"/>
      <c r="H1" s="165"/>
      <c r="I1" s="165"/>
    </row>
    <row r="2" spans="1:9" x14ac:dyDescent="0.3">
      <c r="A2" s="38" t="s">
        <v>240</v>
      </c>
      <c r="B2" s="177"/>
      <c r="C2" s="177"/>
      <c r="D2" s="177"/>
      <c r="E2" s="177"/>
      <c r="F2" s="177"/>
      <c r="G2" s="177"/>
      <c r="H2" s="177"/>
      <c r="I2" s="177"/>
    </row>
    <row r="3" spans="1:9" x14ac:dyDescent="0.3">
      <c r="A3" s="44"/>
      <c r="B3" s="44"/>
      <c r="C3" s="44"/>
      <c r="D3" s="44"/>
      <c r="E3" s="44"/>
      <c r="F3" s="44"/>
      <c r="G3" s="44"/>
      <c r="H3" s="44"/>
      <c r="I3" s="44"/>
    </row>
    <row r="4" spans="1:9" x14ac:dyDescent="0.3">
      <c r="A4" s="397" t="s">
        <v>241</v>
      </c>
      <c r="B4" s="398" t="s">
        <v>242</v>
      </c>
      <c r="C4" s="398" t="s">
        <v>243</v>
      </c>
      <c r="D4" s="398" t="s">
        <v>244</v>
      </c>
      <c r="E4" s="398" t="s">
        <v>245</v>
      </c>
      <c r="F4" s="398" t="s">
        <v>246</v>
      </c>
      <c r="G4" s="398" t="s">
        <v>247</v>
      </c>
      <c r="H4" s="398" t="s">
        <v>248</v>
      </c>
      <c r="I4" s="399" t="s">
        <v>249</v>
      </c>
    </row>
    <row r="5" spans="1:9" ht="22.05" customHeight="1" x14ac:dyDescent="0.3">
      <c r="A5" s="356" t="s">
        <v>250</v>
      </c>
      <c r="B5" s="357"/>
      <c r="C5" s="357"/>
      <c r="D5" s="357"/>
      <c r="E5" s="357"/>
      <c r="F5" s="357"/>
      <c r="G5" s="357"/>
      <c r="H5" s="357"/>
      <c r="I5" s="359"/>
    </row>
    <row r="6" spans="1:9" x14ac:dyDescent="0.3">
      <c r="A6" s="400" t="s">
        <v>251</v>
      </c>
      <c r="B6" s="401">
        <v>2012</v>
      </c>
      <c r="C6" s="401" t="s">
        <v>252</v>
      </c>
      <c r="D6" s="401" t="s">
        <v>253</v>
      </c>
      <c r="E6" s="402">
        <v>0.185</v>
      </c>
      <c r="F6" s="401" t="s">
        <v>254</v>
      </c>
      <c r="G6" s="401" t="s">
        <v>255</v>
      </c>
      <c r="H6" s="401" t="s">
        <v>256</v>
      </c>
      <c r="I6" s="403" t="s">
        <v>257</v>
      </c>
    </row>
    <row r="7" spans="1:9" x14ac:dyDescent="0.3">
      <c r="A7" s="404" t="s">
        <v>258</v>
      </c>
      <c r="B7" s="405">
        <v>2015</v>
      </c>
      <c r="C7" s="405" t="s">
        <v>252</v>
      </c>
      <c r="D7" s="405" t="s">
        <v>217</v>
      </c>
      <c r="E7" s="406" t="s">
        <v>259</v>
      </c>
      <c r="F7" s="405" t="s">
        <v>260</v>
      </c>
      <c r="G7" s="405" t="s">
        <v>261</v>
      </c>
      <c r="H7" s="405" t="s">
        <v>262</v>
      </c>
      <c r="I7" s="407" t="s">
        <v>263</v>
      </c>
    </row>
    <row r="8" spans="1:9" x14ac:dyDescent="0.3">
      <c r="A8" s="400" t="s">
        <v>264</v>
      </c>
      <c r="B8" s="401">
        <v>2011</v>
      </c>
      <c r="C8" s="401" t="s">
        <v>265</v>
      </c>
      <c r="D8" s="401" t="s">
        <v>266</v>
      </c>
      <c r="E8" s="402">
        <v>0.50739999999999996</v>
      </c>
      <c r="F8" s="401" t="s">
        <v>267</v>
      </c>
      <c r="G8" s="401" t="s">
        <v>268</v>
      </c>
      <c r="H8" s="401" t="s">
        <v>269</v>
      </c>
      <c r="I8" s="403" t="s">
        <v>270</v>
      </c>
    </row>
    <row r="9" spans="1:9" x14ac:dyDescent="0.3">
      <c r="A9" s="408"/>
      <c r="B9" s="409"/>
      <c r="C9" s="409"/>
      <c r="D9" s="409"/>
      <c r="E9" s="410"/>
      <c r="F9" s="409"/>
      <c r="G9" s="409"/>
      <c r="H9" s="409"/>
      <c r="I9" s="411"/>
    </row>
    <row r="10" spans="1:9" x14ac:dyDescent="0.3">
      <c r="A10" s="400"/>
      <c r="B10" s="401"/>
      <c r="C10" s="401"/>
      <c r="D10" s="401"/>
      <c r="E10" s="412"/>
      <c r="F10" s="401"/>
      <c r="G10" s="401"/>
      <c r="H10" s="401"/>
      <c r="I10" s="403"/>
    </row>
    <row r="11" spans="1:9" ht="22.05" customHeight="1" x14ac:dyDescent="0.3">
      <c r="A11" s="413" t="s">
        <v>271</v>
      </c>
      <c r="B11" s="414"/>
      <c r="C11" s="414"/>
      <c r="D11" s="414"/>
      <c r="E11" s="415"/>
      <c r="F11" s="414"/>
      <c r="G11" s="414"/>
      <c r="H11" s="414"/>
      <c r="I11" s="416"/>
    </row>
    <row r="12" spans="1:9" x14ac:dyDescent="0.3">
      <c r="A12" s="400" t="s">
        <v>272</v>
      </c>
      <c r="B12" s="412" t="s">
        <v>273</v>
      </c>
      <c r="C12" s="401" t="s">
        <v>274</v>
      </c>
      <c r="D12" s="401" t="s">
        <v>275</v>
      </c>
      <c r="E12" s="412" t="s">
        <v>276</v>
      </c>
      <c r="F12" s="401" t="s">
        <v>277</v>
      </c>
      <c r="G12" s="401" t="s">
        <v>278</v>
      </c>
      <c r="H12" s="401" t="s">
        <v>279</v>
      </c>
      <c r="I12" s="403" t="s">
        <v>280</v>
      </c>
    </row>
    <row r="13" spans="1:9" x14ac:dyDescent="0.3">
      <c r="A13" s="404" t="s">
        <v>281</v>
      </c>
      <c r="B13" s="417">
        <v>45627</v>
      </c>
      <c r="C13" s="405" t="s">
        <v>282</v>
      </c>
      <c r="D13" s="405" t="s">
        <v>217</v>
      </c>
      <c r="E13" s="406" t="s">
        <v>283</v>
      </c>
      <c r="F13" s="405" t="s">
        <v>601</v>
      </c>
      <c r="G13" s="405" t="s">
        <v>602</v>
      </c>
      <c r="H13" s="405" t="s">
        <v>603</v>
      </c>
      <c r="I13" s="418" t="s">
        <v>604</v>
      </c>
    </row>
    <row r="14" spans="1:9" x14ac:dyDescent="0.3">
      <c r="A14" s="419" t="s">
        <v>284</v>
      </c>
      <c r="B14" s="420">
        <v>45536</v>
      </c>
      <c r="C14" s="421" t="s">
        <v>217</v>
      </c>
      <c r="D14" s="421" t="s">
        <v>285</v>
      </c>
      <c r="E14" s="422">
        <v>0.51770000000000005</v>
      </c>
      <c r="F14" s="421" t="s">
        <v>286</v>
      </c>
      <c r="G14" s="421" t="s">
        <v>287</v>
      </c>
      <c r="H14" s="421" t="s">
        <v>288</v>
      </c>
      <c r="I14" s="423" t="s">
        <v>289</v>
      </c>
    </row>
    <row r="16" spans="1:9" ht="22.05" customHeight="1" x14ac:dyDescent="0.3">
      <c r="A16" s="50" t="s">
        <v>290</v>
      </c>
      <c r="B16" s="40"/>
      <c r="C16" s="40"/>
      <c r="D16" s="40"/>
      <c r="E16" s="40"/>
      <c r="F16" s="50" t="s">
        <v>606</v>
      </c>
      <c r="G16" s="40"/>
      <c r="H16" s="40"/>
      <c r="I16" s="40"/>
    </row>
    <row r="17" spans="1:9" x14ac:dyDescent="0.3">
      <c r="A17" s="51" t="s">
        <v>90</v>
      </c>
      <c r="B17" s="51" t="s">
        <v>291</v>
      </c>
      <c r="C17" s="51" t="s">
        <v>292</v>
      </c>
      <c r="D17" s="51" t="s">
        <v>293</v>
      </c>
      <c r="E17" s="44"/>
      <c r="F17" s="54" t="s">
        <v>607</v>
      </c>
      <c r="G17" s="54" t="s">
        <v>608</v>
      </c>
      <c r="H17" s="53" t="s">
        <v>609</v>
      </c>
      <c r="I17" s="53" t="s">
        <v>610</v>
      </c>
    </row>
    <row r="18" spans="1:9" x14ac:dyDescent="0.3">
      <c r="A18" s="39" t="s">
        <v>294</v>
      </c>
      <c r="B18" s="391" t="s">
        <v>295</v>
      </c>
      <c r="C18" s="391" t="s">
        <v>600</v>
      </c>
      <c r="D18" s="391" t="s">
        <v>296</v>
      </c>
      <c r="E18" s="39"/>
      <c r="F18" s="392" t="s">
        <v>611</v>
      </c>
      <c r="G18" s="392" t="s">
        <v>612</v>
      </c>
      <c r="H18" s="393">
        <f>8/3-1</f>
        <v>1.6666666666666665</v>
      </c>
      <c r="I18" s="392" t="s">
        <v>613</v>
      </c>
    </row>
    <row r="19" spans="1:9" x14ac:dyDescent="0.3">
      <c r="A19" s="44" t="s">
        <v>297</v>
      </c>
      <c r="B19" s="394">
        <v>0.15</v>
      </c>
      <c r="C19" s="394">
        <v>0.25</v>
      </c>
      <c r="D19" s="394">
        <v>0.4</v>
      </c>
      <c r="E19" s="44"/>
      <c r="F19" s="395" t="s">
        <v>614</v>
      </c>
      <c r="G19" s="395" t="s">
        <v>615</v>
      </c>
      <c r="H19" s="396" t="s">
        <v>616</v>
      </c>
      <c r="I19" s="396" t="s">
        <v>617</v>
      </c>
    </row>
    <row r="21" spans="1:9" ht="22.05" customHeight="1" x14ac:dyDescent="0.3">
      <c r="A21" s="40" t="s">
        <v>298</v>
      </c>
      <c r="B21" s="40"/>
      <c r="C21" s="40"/>
      <c r="D21" s="40"/>
      <c r="E21" s="40"/>
      <c r="F21" s="40"/>
      <c r="G21" s="40"/>
      <c r="H21" s="40"/>
      <c r="I21" s="40"/>
    </row>
    <row r="22" spans="1:9" x14ac:dyDescent="0.3">
      <c r="A22" s="181"/>
      <c r="B22" s="181" t="s">
        <v>299</v>
      </c>
      <c r="C22" s="181" t="s">
        <v>618</v>
      </c>
      <c r="D22" s="181" t="s">
        <v>619</v>
      </c>
    </row>
    <row r="23" spans="1:9" x14ac:dyDescent="0.3">
      <c r="A23" s="44" t="s">
        <v>300</v>
      </c>
      <c r="B23" s="44">
        <f>'Income Statement'!F4</f>
        <v>2352.5349000000001</v>
      </c>
      <c r="C23" s="44">
        <f>'Income Statement'!F4</f>
        <v>2352.5349000000001</v>
      </c>
      <c r="D23" s="44">
        <f>'Income Statement'!F4</f>
        <v>2352.5349000000001</v>
      </c>
    </row>
    <row r="24" spans="1:9" x14ac:dyDescent="0.3">
      <c r="A24" s="39" t="s">
        <v>232</v>
      </c>
      <c r="B24" s="39">
        <f>B23*2</f>
        <v>4705.0698000000002</v>
      </c>
      <c r="C24" s="39">
        <f>C23*4</f>
        <v>9410.1396000000004</v>
      </c>
      <c r="D24" s="39">
        <f>D23*8</f>
        <v>18820.279200000001</v>
      </c>
    </row>
    <row r="25" spans="1:9" x14ac:dyDescent="0.3">
      <c r="A25" s="44" t="s">
        <v>201</v>
      </c>
      <c r="B25" s="329">
        <f>(B24-'Balance Sheet'!F44)/Assumptions!B90</f>
        <v>781.45632746373246</v>
      </c>
      <c r="C25" s="329">
        <f>(C24-'Balance Sheet'!F44)/Assumptions!B90</f>
        <v>1556.7191055161302</v>
      </c>
      <c r="D25" s="329">
        <f>(D24-'Balance Sheet'!F44)/Assumptions!B90</f>
        <v>3107.2446616209249</v>
      </c>
    </row>
    <row r="27" spans="1:9" ht="22.05" customHeight="1" x14ac:dyDescent="0.3">
      <c r="A27" s="40" t="s">
        <v>620</v>
      </c>
      <c r="B27" s="40"/>
      <c r="C27" s="40"/>
      <c r="D27" s="40"/>
      <c r="E27" s="40"/>
      <c r="F27" s="40"/>
      <c r="G27" s="40"/>
      <c r="H27" s="40"/>
      <c r="I27" s="40"/>
    </row>
    <row r="28" spans="1:9" x14ac:dyDescent="0.3">
      <c r="A28" s="353" t="s">
        <v>621</v>
      </c>
      <c r="B28" s="354" t="s">
        <v>233</v>
      </c>
      <c r="C28" s="354" t="s">
        <v>591</v>
      </c>
      <c r="D28" s="355" t="s">
        <v>592</v>
      </c>
    </row>
    <row r="29" spans="1:9" x14ac:dyDescent="0.3">
      <c r="A29" s="376" t="s">
        <v>299</v>
      </c>
      <c r="B29" s="377">
        <f>B25</f>
        <v>781.45632746373246</v>
      </c>
      <c r="C29" s="378">
        <v>0.25</v>
      </c>
      <c r="D29" s="379">
        <f>B29*C29</f>
        <v>195.36408186593312</v>
      </c>
    </row>
    <row r="30" spans="1:9" x14ac:dyDescent="0.3">
      <c r="A30" s="380" t="s">
        <v>618</v>
      </c>
      <c r="B30" s="381">
        <f>C25</f>
        <v>1556.7191055161302</v>
      </c>
      <c r="C30" s="382">
        <v>0.5</v>
      </c>
      <c r="D30" s="383">
        <f>B30*C30</f>
        <v>778.35955275806509</v>
      </c>
    </row>
    <row r="31" spans="1:9" x14ac:dyDescent="0.3">
      <c r="A31" s="424" t="s">
        <v>619</v>
      </c>
      <c r="B31" s="425">
        <f>D25</f>
        <v>3107.2446616209249</v>
      </c>
      <c r="C31" s="426">
        <v>0.25</v>
      </c>
      <c r="D31" s="427">
        <f>B31*C31</f>
        <v>776.81116540523124</v>
      </c>
    </row>
    <row r="32" spans="1:9" ht="15" thickBot="1" x14ac:dyDescent="0.35">
      <c r="A32" s="388" t="s">
        <v>622</v>
      </c>
      <c r="B32" s="389"/>
      <c r="C32" s="389"/>
      <c r="D32" s="390">
        <f>SUM(D29:D31)</f>
        <v>1750.5348000292295</v>
      </c>
    </row>
    <row r="33" spans="1:4" x14ac:dyDescent="0.3">
      <c r="A33" s="428" t="s">
        <v>595</v>
      </c>
      <c r="B33" s="429"/>
      <c r="C33" s="429"/>
      <c r="D33" s="430">
        <f>D32/Assumptions!B92-1</f>
        <v>-0.25509157445564701</v>
      </c>
    </row>
    <row r="34" spans="1:4" x14ac:dyDescent="0.3">
      <c r="A34" s="179" t="s">
        <v>301</v>
      </c>
      <c r="B34" t="s">
        <v>302</v>
      </c>
    </row>
    <row r="35" spans="1:4" x14ac:dyDescent="0.3">
      <c r="B35" t="s">
        <v>605</v>
      </c>
    </row>
    <row r="36" spans="1:4" x14ac:dyDescent="0.3">
      <c r="B36" t="s">
        <v>303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BAF7D-6E0A-4874-9318-80A923DA75EB}">
  <sheetPr>
    <tabColor rgb="FF1B3A5C"/>
  </sheetPr>
  <dimension ref="A1:L131"/>
  <sheetViews>
    <sheetView showGridLines="0" zoomScale="82" workbookViewId="0"/>
  </sheetViews>
  <sheetFormatPr defaultRowHeight="14.4" x14ac:dyDescent="0.3"/>
  <cols>
    <col min="1" max="1" width="54.6640625" customWidth="1"/>
    <col min="2" max="2" width="21.33203125" customWidth="1"/>
    <col min="3" max="3" width="48.109375" customWidth="1"/>
    <col min="4" max="4" width="22.21875" customWidth="1"/>
    <col min="5" max="8" width="21.33203125" customWidth="1"/>
  </cols>
  <sheetData>
    <row r="1" spans="1:8" ht="28.05" customHeight="1" x14ac:dyDescent="0.4">
      <c r="A1" s="36" t="s">
        <v>640</v>
      </c>
      <c r="B1" s="37"/>
      <c r="C1" s="37"/>
      <c r="D1" s="37"/>
      <c r="E1" s="37"/>
      <c r="F1" s="37"/>
      <c r="G1" s="37"/>
      <c r="H1" s="37"/>
    </row>
    <row r="2" spans="1:8" ht="18" customHeight="1" x14ac:dyDescent="0.3">
      <c r="A2" s="38" t="s">
        <v>493</v>
      </c>
      <c r="B2" s="37"/>
      <c r="C2" s="37"/>
      <c r="D2" s="37"/>
      <c r="E2" s="37"/>
      <c r="F2" s="37"/>
      <c r="G2" s="37"/>
      <c r="H2" s="37"/>
    </row>
    <row r="3" spans="1:8" ht="7.95" customHeight="1" x14ac:dyDescent="0.3">
      <c r="A3" s="39"/>
      <c r="B3" s="39"/>
      <c r="C3" s="39"/>
      <c r="D3" s="39"/>
      <c r="E3" s="39"/>
      <c r="F3" s="39"/>
      <c r="G3" s="39"/>
      <c r="H3" s="39"/>
    </row>
    <row r="4" spans="1:8" ht="24" customHeight="1" x14ac:dyDescent="0.3">
      <c r="A4" s="40" t="s">
        <v>304</v>
      </c>
      <c r="B4" s="40"/>
      <c r="C4" s="9"/>
      <c r="D4" s="9"/>
      <c r="E4" s="9"/>
      <c r="F4" s="9"/>
      <c r="G4" s="9"/>
      <c r="H4" s="9"/>
    </row>
    <row r="5" spans="1:8" x14ac:dyDescent="0.3">
      <c r="A5" s="78" t="s">
        <v>305</v>
      </c>
      <c r="B5" s="81">
        <f>Assumptions!B92</f>
        <v>2350</v>
      </c>
    </row>
    <row r="6" spans="1:8" x14ac:dyDescent="0.3">
      <c r="A6" s="70" t="s">
        <v>98</v>
      </c>
      <c r="B6" s="71">
        <f>Assumptions!B90</f>
        <v>6.069</v>
      </c>
    </row>
    <row r="7" spans="1:8" x14ac:dyDescent="0.3">
      <c r="A7" s="72" t="s">
        <v>306</v>
      </c>
      <c r="B7" s="73">
        <f>B5*B6</f>
        <v>14262.15</v>
      </c>
    </row>
    <row r="8" spans="1:8" x14ac:dyDescent="0.3">
      <c r="A8" s="70" t="s">
        <v>307</v>
      </c>
      <c r="B8" s="74">
        <f>'Balance Sheet'!E44</f>
        <v>-13.600000000000023</v>
      </c>
    </row>
    <row r="9" spans="1:8" x14ac:dyDescent="0.3">
      <c r="A9" s="75" t="s">
        <v>308</v>
      </c>
      <c r="B9" s="76">
        <f>B7+B8</f>
        <v>14248.55</v>
      </c>
    </row>
    <row r="10" spans="1:8" ht="7.95" customHeight="1" x14ac:dyDescent="0.3">
      <c r="A10" s="77"/>
      <c r="B10" s="77"/>
      <c r="C10" s="44"/>
      <c r="D10" s="44"/>
      <c r="E10" s="44"/>
      <c r="F10" s="44"/>
      <c r="G10" s="44"/>
      <c r="H10" s="44"/>
    </row>
    <row r="11" spans="1:8" x14ac:dyDescent="0.3">
      <c r="A11" s="78" t="s">
        <v>309</v>
      </c>
      <c r="B11" s="79">
        <f>B5/'Income Statement'!F29</f>
        <v>57.774387257279486</v>
      </c>
      <c r="C11" s="12"/>
      <c r="D11" s="12">
        <f>B11</f>
        <v>57.774387257279486</v>
      </c>
      <c r="E11" s="12"/>
      <c r="F11" s="12"/>
    </row>
    <row r="12" spans="1:8" x14ac:dyDescent="0.3">
      <c r="A12" s="70" t="s">
        <v>310</v>
      </c>
      <c r="B12" s="80">
        <f>B9/'Income Statement'!F14</f>
        <v>34.609597381227239</v>
      </c>
    </row>
    <row r="13" spans="1:8" x14ac:dyDescent="0.3">
      <c r="A13" s="78" t="s">
        <v>311</v>
      </c>
      <c r="B13" s="79">
        <f>B9/'Income Statement'!F4</f>
        <v>6.0566795417147681</v>
      </c>
    </row>
    <row r="14" spans="1:8" ht="7.95" customHeight="1" x14ac:dyDescent="0.3">
      <c r="A14" s="44"/>
      <c r="B14" s="45"/>
      <c r="C14" s="44"/>
      <c r="D14" s="44"/>
      <c r="E14" s="44"/>
      <c r="F14" s="44"/>
      <c r="G14" s="44"/>
      <c r="H14" s="44"/>
    </row>
    <row r="15" spans="1:8" ht="24" customHeight="1" x14ac:dyDescent="0.3">
      <c r="A15" s="40" t="s">
        <v>494</v>
      </c>
      <c r="B15" s="46"/>
      <c r="C15" s="9"/>
      <c r="D15" s="9"/>
      <c r="E15" s="9"/>
      <c r="F15" s="9"/>
      <c r="G15" s="9"/>
      <c r="H15" s="9"/>
    </row>
    <row r="16" spans="1:8" x14ac:dyDescent="0.3">
      <c r="A16" s="41" t="s">
        <v>495</v>
      </c>
      <c r="B16" s="47">
        <f>'Income Statement'!O4</f>
        <v>10107.071135488819</v>
      </c>
    </row>
    <row r="17" spans="1:8" x14ac:dyDescent="0.3">
      <c r="A17" s="42" t="s">
        <v>496</v>
      </c>
      <c r="B17" s="43">
        <f>'Income Statement'!O14</f>
        <v>2294.3051477559629</v>
      </c>
    </row>
    <row r="18" spans="1:8" x14ac:dyDescent="0.3">
      <c r="A18" s="41" t="s">
        <v>497</v>
      </c>
      <c r="B18" s="47">
        <f>'Income Statement'!O26</f>
        <v>1503.4792952000173</v>
      </c>
    </row>
    <row r="19" spans="1:8" x14ac:dyDescent="0.3">
      <c r="A19" s="42" t="s">
        <v>498</v>
      </c>
      <c r="B19" s="48">
        <f>'Income Statement'!O29</f>
        <v>247.7309763058193</v>
      </c>
    </row>
    <row r="20" spans="1:8" x14ac:dyDescent="0.3">
      <c r="A20" s="41" t="s">
        <v>312</v>
      </c>
      <c r="B20" s="49">
        <f>SUM('Income Statement'!F30:O30)</f>
        <v>120.98745640701834</v>
      </c>
    </row>
    <row r="21" spans="1:8" ht="7.95" customHeight="1" thickBot="1" x14ac:dyDescent="0.35">
      <c r="A21" s="44"/>
      <c r="B21" s="44"/>
      <c r="C21" s="44"/>
      <c r="D21" s="44"/>
      <c r="E21" s="44"/>
      <c r="F21" s="44"/>
      <c r="G21" s="44"/>
      <c r="H21" s="44"/>
    </row>
    <row r="22" spans="1:8" x14ac:dyDescent="0.3">
      <c r="A22" s="94"/>
      <c r="B22" s="91" t="s">
        <v>313</v>
      </c>
      <c r="C22" s="92" t="s">
        <v>314</v>
      </c>
      <c r="D22" s="93" t="s">
        <v>315</v>
      </c>
      <c r="E22" s="99" t="s">
        <v>316</v>
      </c>
      <c r="F22" s="51"/>
      <c r="G22" s="51"/>
      <c r="H22" s="44"/>
    </row>
    <row r="23" spans="1:8" x14ac:dyDescent="0.3">
      <c r="A23" s="95" t="s">
        <v>317</v>
      </c>
      <c r="B23" s="83">
        <v>35</v>
      </c>
      <c r="C23" s="83">
        <v>50</v>
      </c>
      <c r="D23" s="83">
        <v>60</v>
      </c>
      <c r="E23" s="100">
        <v>70</v>
      </c>
      <c r="F23" s="44"/>
      <c r="G23" s="44"/>
      <c r="H23" s="44"/>
    </row>
    <row r="24" spans="1:8" x14ac:dyDescent="0.3">
      <c r="A24" s="96" t="s">
        <v>318</v>
      </c>
      <c r="B24" s="85">
        <f>B23*$B$19</f>
        <v>8670.5841707036761</v>
      </c>
      <c r="C24" s="85">
        <f>C23*$B$19</f>
        <v>12386.548815290966</v>
      </c>
      <c r="D24" s="85">
        <f>D23*$B$19</f>
        <v>14863.858578349158</v>
      </c>
      <c r="E24" s="101">
        <f>E23*$B$19</f>
        <v>17341.168341407352</v>
      </c>
      <c r="F24" s="44"/>
      <c r="G24" s="44"/>
      <c r="H24" s="44"/>
    </row>
    <row r="25" spans="1:8" x14ac:dyDescent="0.3">
      <c r="A25" s="97" t="s">
        <v>319</v>
      </c>
      <c r="B25" s="87">
        <f>B24+$B$20-$B$5</f>
        <v>6441.571627110694</v>
      </c>
      <c r="C25" s="87">
        <f>C24+$B$20-$B$5</f>
        <v>10157.536271697983</v>
      </c>
      <c r="D25" s="87">
        <f>D24+$B$20-$B$5</f>
        <v>12634.846034756176</v>
      </c>
      <c r="E25" s="102">
        <f>E24+$B$20-$B$5</f>
        <v>15112.155797814372</v>
      </c>
      <c r="F25" s="44"/>
      <c r="G25" s="44"/>
      <c r="H25" s="44"/>
    </row>
    <row r="26" spans="1:8" x14ac:dyDescent="0.3">
      <c r="A26" s="96" t="s">
        <v>320</v>
      </c>
      <c r="B26" s="89">
        <f>(B24+$B$20)/$B$5</f>
        <v>3.7410943094088061</v>
      </c>
      <c r="C26" s="89">
        <f>(C24+$B$20)/$B$5</f>
        <v>5.322355860297014</v>
      </c>
      <c r="D26" s="89">
        <f>(D24+$B$20)/$B$5</f>
        <v>6.3765302275558193</v>
      </c>
      <c r="E26" s="103">
        <f>(E24+$B$20)/$B$5</f>
        <v>7.4307045948146264</v>
      </c>
      <c r="F26" s="44"/>
      <c r="G26" s="44"/>
      <c r="H26" s="44"/>
    </row>
    <row r="27" spans="1:8" ht="15" thickBot="1" x14ac:dyDescent="0.35">
      <c r="A27" s="98" t="s">
        <v>321</v>
      </c>
      <c r="B27" s="90">
        <f>((B23*$B$19+$B$20)/($B$5))^(1/10)-1</f>
        <v>0.14103736333309813</v>
      </c>
      <c r="C27" s="90">
        <f>((C23*$B$19+$B$20)/($B$5))^(1/10)-1</f>
        <v>0.18198071539904714</v>
      </c>
      <c r="D27" s="90">
        <f>((D23*$B$19+$B$20)/($B$5))^(1/10)-1</f>
        <v>0.20353421785994508</v>
      </c>
      <c r="E27" s="104">
        <f>((E23*$B$19+$B$20)/($B$5))^(1/10)-1</f>
        <v>0.22208946318239198</v>
      </c>
      <c r="F27" s="44"/>
      <c r="G27" s="44"/>
      <c r="H27" s="44"/>
    </row>
    <row r="28" spans="1:8" ht="7.95" customHeight="1" x14ac:dyDescent="0.3">
      <c r="A28" s="44"/>
      <c r="B28" s="44"/>
      <c r="C28" s="44"/>
      <c r="D28" s="44"/>
      <c r="E28" s="44"/>
      <c r="F28" s="44"/>
      <c r="G28" s="44"/>
      <c r="H28" s="44"/>
    </row>
    <row r="29" spans="1:8" ht="24" customHeight="1" thickBot="1" x14ac:dyDescent="0.35">
      <c r="A29" s="40" t="s">
        <v>322</v>
      </c>
      <c r="B29" s="52"/>
      <c r="C29" s="52"/>
      <c r="D29" s="434" t="s">
        <v>485</v>
      </c>
      <c r="E29" s="434"/>
      <c r="F29" s="52"/>
      <c r="G29" s="52"/>
      <c r="H29" s="52"/>
    </row>
    <row r="30" spans="1:8" x14ac:dyDescent="0.3">
      <c r="A30" s="110">
        <f>((C23*$B$19+$B$20)/(D11*'Income Statement'!F29))^(1/10)-1</f>
        <v>0.18198071539904714</v>
      </c>
      <c r="B30" s="109">
        <v>35</v>
      </c>
      <c r="C30" s="109">
        <v>40</v>
      </c>
      <c r="D30" s="109">
        <v>50</v>
      </c>
      <c r="E30" s="109">
        <v>55</v>
      </c>
      <c r="F30" s="109">
        <v>60</v>
      </c>
      <c r="G30" s="109">
        <v>65</v>
      </c>
      <c r="H30" s="113">
        <v>70</v>
      </c>
    </row>
    <row r="31" spans="1:8" x14ac:dyDescent="0.3">
      <c r="A31" s="111">
        <v>54</v>
      </c>
      <c r="B31" s="105">
        <f t="dataTable" ref="B31:H37" dt2D="1" dtr="1" r1="C23" r2="D11"/>
        <v>0.14877248375228302</v>
      </c>
      <c r="C31" s="105">
        <v>0.16401465106367863</v>
      </c>
      <c r="D31" s="105">
        <v>0.18999339181137698</v>
      </c>
      <c r="E31" s="105">
        <v>0.20128377258407881</v>
      </c>
      <c r="F31" s="105">
        <v>0.21169300599687535</v>
      </c>
      <c r="G31" s="105">
        <v>0.22135476293170919</v>
      </c>
      <c r="H31" s="114">
        <v>0.23037403778485688</v>
      </c>
    </row>
    <row r="32" spans="1:8" x14ac:dyDescent="0.3">
      <c r="A32" s="111">
        <v>57</v>
      </c>
      <c r="B32" s="106">
        <v>0.14257815075382196</v>
      </c>
      <c r="C32" s="106">
        <v>0.15773813028540862</v>
      </c>
      <c r="D32" s="107">
        <v>0.1835767902309049</v>
      </c>
      <c r="E32" s="106">
        <v>0.19480629177889086</v>
      </c>
      <c r="F32" s="106">
        <v>0.20515939722994614</v>
      </c>
      <c r="G32" s="106">
        <v>0.21476905669495827</v>
      </c>
      <c r="H32" s="115">
        <v>0.22373969842654762</v>
      </c>
    </row>
    <row r="33" spans="1:8" x14ac:dyDescent="0.3">
      <c r="A33" s="111">
        <v>60</v>
      </c>
      <c r="B33" s="105">
        <v>0.1367324959702696</v>
      </c>
      <c r="C33" s="105">
        <v>0.15181491406169667</v>
      </c>
      <c r="D33" s="105">
        <v>0.17752137833549075</v>
      </c>
      <c r="E33" s="105">
        <v>0.18869342754256024</v>
      </c>
      <c r="F33" s="105">
        <v>0.19899356446768612</v>
      </c>
      <c r="G33" s="105">
        <v>0.20855405902281188</v>
      </c>
      <c r="H33" s="114">
        <v>0.21747880518505647</v>
      </c>
    </row>
    <row r="34" spans="1:8" x14ac:dyDescent="0.3">
      <c r="A34" s="111">
        <v>63</v>
      </c>
      <c r="B34" s="106">
        <v>0.13119986732899869</v>
      </c>
      <c r="C34" s="106">
        <v>0.14620887728033294</v>
      </c>
      <c r="D34" s="106">
        <v>0.17179022476454708</v>
      </c>
      <c r="E34" s="106">
        <v>0.18290789811833208</v>
      </c>
      <c r="F34" s="106">
        <v>0.19315790290351909</v>
      </c>
      <c r="G34" s="106">
        <v>0.20267186525675207</v>
      </c>
      <c r="H34" s="115">
        <v>0.21155317348930947</v>
      </c>
    </row>
    <row r="35" spans="1:8" x14ac:dyDescent="0.3">
      <c r="A35" s="111">
        <v>66</v>
      </c>
      <c r="B35" s="105">
        <v>0.12594974503433343</v>
      </c>
      <c r="C35" s="105">
        <v>0.14088909520224457</v>
      </c>
      <c r="D35" s="105">
        <v>0.16635171459371989</v>
      </c>
      <c r="E35" s="105">
        <v>0.17741778862679647</v>
      </c>
      <c r="F35" s="105">
        <v>0.18762022111269561</v>
      </c>
      <c r="G35" s="105">
        <v>0.19709002728512992</v>
      </c>
      <c r="H35" s="114">
        <v>0.20593011560977836</v>
      </c>
    </row>
    <row r="36" spans="1:8" x14ac:dyDescent="0.3">
      <c r="A36" s="111">
        <v>69</v>
      </c>
      <c r="B36" s="106">
        <v>0.12095580765016023</v>
      </c>
      <c r="C36" s="106">
        <v>0.13582889715268398</v>
      </c>
      <c r="D36" s="106">
        <v>0.16117858190614465</v>
      </c>
      <c r="E36" s="106">
        <v>0.17219557445840605</v>
      </c>
      <c r="F36" s="106">
        <v>0.18235275598241674</v>
      </c>
      <c r="G36" s="106">
        <v>0.19178056061857096</v>
      </c>
      <c r="H36" s="115">
        <v>0.20058144040148984</v>
      </c>
    </row>
    <row r="37" spans="1:8" ht="15" thickBot="1" x14ac:dyDescent="0.35">
      <c r="A37" s="112">
        <v>72</v>
      </c>
      <c r="B37" s="108">
        <v>0.11619520062054911</v>
      </c>
      <c r="C37" s="108">
        <v>0.13100512533641973</v>
      </c>
      <c r="D37" s="108">
        <v>0.15624715206570827</v>
      </c>
      <c r="E37" s="108">
        <v>0.1672173563576016</v>
      </c>
      <c r="F37" s="108">
        <v>0.17733140116789503</v>
      </c>
      <c r="G37" s="108">
        <v>0.18671916669392719</v>
      </c>
      <c r="H37" s="116">
        <v>0.19548266986496232</v>
      </c>
    </row>
    <row r="38" spans="1:8" ht="7.95" customHeight="1" x14ac:dyDescent="0.3">
      <c r="A38" s="44"/>
      <c r="B38" s="44"/>
      <c r="C38" s="44"/>
      <c r="D38" s="44"/>
      <c r="E38" s="44"/>
      <c r="F38" s="44"/>
      <c r="G38" s="44"/>
      <c r="H38" s="44"/>
    </row>
    <row r="39" spans="1:8" ht="24" customHeight="1" x14ac:dyDescent="0.3">
      <c r="A39" s="10" t="s">
        <v>323</v>
      </c>
      <c r="B39" s="9"/>
      <c r="C39" s="9"/>
      <c r="D39" s="9"/>
      <c r="E39" s="9"/>
      <c r="F39" s="9"/>
      <c r="G39" s="9"/>
      <c r="H39" s="9"/>
    </row>
    <row r="40" spans="1:8" s="19" customFormat="1" ht="55.05" customHeight="1" x14ac:dyDescent="0.3">
      <c r="A40" s="55" t="s">
        <v>324</v>
      </c>
      <c r="B40" s="432" t="s">
        <v>325</v>
      </c>
      <c r="C40" s="437"/>
      <c r="D40" s="437"/>
      <c r="E40" s="163"/>
      <c r="F40" s="163"/>
      <c r="G40" s="163"/>
      <c r="H40" s="163"/>
    </row>
    <row r="41" spans="1:8" s="19" customFormat="1" ht="55.05" customHeight="1" x14ac:dyDescent="0.3">
      <c r="A41" s="56" t="s">
        <v>326</v>
      </c>
      <c r="B41" s="433" t="s">
        <v>466</v>
      </c>
      <c r="C41" s="438"/>
      <c r="D41" s="438"/>
      <c r="E41" s="163"/>
      <c r="F41" s="163"/>
      <c r="G41" s="163"/>
      <c r="H41" s="163"/>
    </row>
    <row r="42" spans="1:8" s="19" customFormat="1" ht="55.05" customHeight="1" x14ac:dyDescent="0.3">
      <c r="A42" s="55" t="s">
        <v>327</v>
      </c>
      <c r="B42" s="432" t="s">
        <v>465</v>
      </c>
      <c r="C42" s="437"/>
      <c r="D42" s="437"/>
      <c r="E42" s="163"/>
      <c r="F42" s="163"/>
      <c r="G42" s="163"/>
      <c r="H42" s="163"/>
    </row>
    <row r="43" spans="1:8" s="19" customFormat="1" ht="55.05" customHeight="1" x14ac:dyDescent="0.3">
      <c r="A43" s="56" t="s">
        <v>328</v>
      </c>
      <c r="B43" s="433" t="s">
        <v>329</v>
      </c>
      <c r="C43" s="438"/>
      <c r="D43" s="438"/>
      <c r="E43" s="163"/>
      <c r="F43" s="163"/>
      <c r="G43" s="163"/>
      <c r="H43" s="163"/>
    </row>
    <row r="44" spans="1:8" s="19" customFormat="1" ht="55.05" customHeight="1" x14ac:dyDescent="0.3">
      <c r="A44" s="55" t="s">
        <v>330</v>
      </c>
      <c r="B44" s="432" t="s">
        <v>467</v>
      </c>
      <c r="C44" s="437"/>
      <c r="D44" s="437"/>
      <c r="E44" s="163"/>
      <c r="F44" s="163"/>
      <c r="G44" s="163"/>
      <c r="H44" s="163"/>
    </row>
    <row r="45" spans="1:8" s="19" customFormat="1" ht="55.05" customHeight="1" x14ac:dyDescent="0.3">
      <c r="A45" s="56" t="s">
        <v>331</v>
      </c>
      <c r="B45" s="433" t="s">
        <v>468</v>
      </c>
      <c r="C45" s="438"/>
      <c r="D45" s="438"/>
      <c r="E45" s="163"/>
      <c r="F45" s="163"/>
      <c r="G45" s="163"/>
      <c r="H45" s="163"/>
    </row>
    <row r="46" spans="1:8" s="19" customFormat="1" ht="55.05" customHeight="1" x14ac:dyDescent="0.3">
      <c r="A46" s="55" t="s">
        <v>332</v>
      </c>
      <c r="B46" s="432" t="s">
        <v>639</v>
      </c>
      <c r="C46" s="437"/>
      <c r="D46" s="437"/>
      <c r="E46" s="163"/>
      <c r="F46" s="163"/>
      <c r="G46" s="163"/>
      <c r="H46" s="163"/>
    </row>
    <row r="47" spans="1:8" s="19" customFormat="1" ht="55.05" customHeight="1" x14ac:dyDescent="0.3">
      <c r="A47" s="56" t="s">
        <v>333</v>
      </c>
      <c r="B47" s="433" t="s">
        <v>469</v>
      </c>
      <c r="C47" s="438"/>
      <c r="D47" s="438"/>
      <c r="E47" s="163"/>
      <c r="F47" s="163"/>
      <c r="G47" s="163"/>
      <c r="H47" s="163"/>
    </row>
    <row r="48" spans="1:8" s="19" customFormat="1" ht="55.05" customHeight="1" x14ac:dyDescent="0.3">
      <c r="A48" s="55" t="s">
        <v>334</v>
      </c>
      <c r="B48" s="432" t="s">
        <v>335</v>
      </c>
      <c r="C48" s="437"/>
      <c r="D48" s="437"/>
      <c r="E48" s="163"/>
      <c r="F48" s="163"/>
      <c r="G48" s="163"/>
      <c r="H48" s="163"/>
    </row>
    <row r="49" spans="1:8" ht="7.95" customHeight="1" x14ac:dyDescent="0.3">
      <c r="A49" s="44"/>
      <c r="B49" s="44"/>
      <c r="C49" s="44"/>
      <c r="D49" s="44"/>
      <c r="E49" s="44"/>
      <c r="F49" s="44"/>
      <c r="G49" s="44"/>
      <c r="H49" s="44"/>
    </row>
    <row r="50" spans="1:8" ht="24" customHeight="1" x14ac:dyDescent="0.3">
      <c r="A50" s="57" t="s">
        <v>336</v>
      </c>
      <c r="B50" s="58"/>
      <c r="C50" s="58"/>
      <c r="D50" s="58"/>
      <c r="E50" s="58"/>
      <c r="F50" s="58"/>
      <c r="G50" s="58"/>
      <c r="H50" s="58"/>
    </row>
    <row r="51" spans="1:8" x14ac:dyDescent="0.3">
      <c r="A51" s="117" t="s">
        <v>337</v>
      </c>
      <c r="B51" s="118" t="s">
        <v>338</v>
      </c>
      <c r="C51" s="440" t="s">
        <v>339</v>
      </c>
      <c r="D51" s="441"/>
    </row>
    <row r="52" spans="1:8" ht="55.05" customHeight="1" x14ac:dyDescent="0.3">
      <c r="A52" s="143" t="s">
        <v>340</v>
      </c>
      <c r="B52" s="144" t="s">
        <v>341</v>
      </c>
      <c r="C52" s="435" t="s">
        <v>342</v>
      </c>
      <c r="D52" s="436"/>
      <c r="E52" s="44"/>
      <c r="F52" s="44"/>
      <c r="G52" s="44"/>
      <c r="H52" s="44"/>
    </row>
    <row r="53" spans="1:8" ht="55.05" customHeight="1" x14ac:dyDescent="0.3">
      <c r="A53" s="145" t="s">
        <v>343</v>
      </c>
      <c r="B53" s="146" t="s">
        <v>341</v>
      </c>
      <c r="C53" s="439" t="s">
        <v>344</v>
      </c>
      <c r="D53" s="436"/>
      <c r="E53" s="44"/>
      <c r="F53" s="44"/>
      <c r="G53" s="44"/>
      <c r="H53" s="44"/>
    </row>
    <row r="54" spans="1:8" ht="55.05" customHeight="1" x14ac:dyDescent="0.3">
      <c r="A54" s="143" t="s">
        <v>345</v>
      </c>
      <c r="B54" s="147" t="s">
        <v>346</v>
      </c>
      <c r="C54" s="435" t="s">
        <v>347</v>
      </c>
      <c r="D54" s="436"/>
      <c r="E54" s="44"/>
      <c r="F54" s="44"/>
      <c r="G54" s="44"/>
      <c r="H54" s="44"/>
    </row>
    <row r="55" spans="1:8" ht="55.05" customHeight="1" x14ac:dyDescent="0.3">
      <c r="A55" s="145" t="s">
        <v>348</v>
      </c>
      <c r="B55" s="146" t="s">
        <v>341</v>
      </c>
      <c r="C55" s="439" t="s">
        <v>349</v>
      </c>
      <c r="D55" s="436"/>
      <c r="E55" s="44"/>
      <c r="F55" s="44"/>
      <c r="G55" s="44"/>
      <c r="H55" s="44"/>
    </row>
    <row r="56" spans="1:8" ht="55.05" customHeight="1" x14ac:dyDescent="0.3">
      <c r="A56" s="143" t="s">
        <v>350</v>
      </c>
      <c r="B56" s="147" t="s">
        <v>351</v>
      </c>
      <c r="C56" s="435" t="s">
        <v>352</v>
      </c>
      <c r="D56" s="436"/>
      <c r="E56" s="44"/>
      <c r="F56" s="44"/>
      <c r="G56" s="44"/>
      <c r="H56" s="44"/>
    </row>
    <row r="57" spans="1:8" ht="55.05" customHeight="1" x14ac:dyDescent="0.3">
      <c r="A57" s="145" t="s">
        <v>484</v>
      </c>
      <c r="B57" s="148" t="s">
        <v>353</v>
      </c>
      <c r="C57" s="439" t="s">
        <v>354</v>
      </c>
      <c r="D57" s="436"/>
      <c r="E57" s="44"/>
      <c r="F57" s="44"/>
      <c r="G57" s="44"/>
      <c r="H57" s="44"/>
    </row>
    <row r="58" spans="1:8" ht="55.05" customHeight="1" x14ac:dyDescent="0.3">
      <c r="A58" s="143" t="s">
        <v>355</v>
      </c>
      <c r="B58" s="144" t="s">
        <v>341</v>
      </c>
      <c r="C58" s="435" t="s">
        <v>356</v>
      </c>
      <c r="D58" s="436"/>
      <c r="E58" s="44"/>
      <c r="F58" s="44"/>
      <c r="G58" s="44"/>
      <c r="H58" s="44"/>
    </row>
    <row r="59" spans="1:8" ht="55.05" customHeight="1" thickBot="1" x14ac:dyDescent="0.35">
      <c r="A59" s="149" t="s">
        <v>357</v>
      </c>
      <c r="B59" s="150" t="s">
        <v>346</v>
      </c>
      <c r="C59" s="442" t="s">
        <v>358</v>
      </c>
      <c r="D59" s="436"/>
      <c r="E59" s="44"/>
      <c r="F59" s="44"/>
      <c r="G59" s="44"/>
      <c r="H59" s="44"/>
    </row>
    <row r="60" spans="1:8" ht="7.95" customHeight="1" x14ac:dyDescent="0.3">
      <c r="A60" s="44"/>
      <c r="B60" s="44"/>
      <c r="C60" s="44"/>
      <c r="D60" s="44"/>
      <c r="E60" s="44"/>
      <c r="F60" s="44"/>
      <c r="G60" s="44"/>
      <c r="H60" s="44"/>
    </row>
    <row r="61" spans="1:8" ht="24" customHeight="1" x14ac:dyDescent="0.3">
      <c r="A61" s="10" t="s">
        <v>359</v>
      </c>
      <c r="B61" s="9"/>
      <c r="C61" s="9"/>
      <c r="D61" s="9"/>
      <c r="E61" s="9"/>
      <c r="F61" s="9"/>
      <c r="G61" s="9"/>
      <c r="H61" s="9"/>
    </row>
    <row r="62" spans="1:8" x14ac:dyDescent="0.3">
      <c r="A62" s="117" t="s">
        <v>360</v>
      </c>
      <c r="B62" s="118" t="s">
        <v>361</v>
      </c>
      <c r="C62" s="119" t="s">
        <v>362</v>
      </c>
      <c r="D62" s="53"/>
    </row>
    <row r="63" spans="1:8" ht="55.05" customHeight="1" x14ac:dyDescent="0.3">
      <c r="A63" s="151" t="s">
        <v>577</v>
      </c>
      <c r="B63" s="152" t="s">
        <v>363</v>
      </c>
      <c r="C63" s="435" t="s">
        <v>364</v>
      </c>
      <c r="D63" s="436"/>
      <c r="E63" s="44"/>
      <c r="F63" s="44"/>
      <c r="G63" s="44"/>
      <c r="H63" s="44"/>
    </row>
    <row r="64" spans="1:8" ht="55.05" customHeight="1" x14ac:dyDescent="0.3">
      <c r="A64" s="153" t="s">
        <v>579</v>
      </c>
      <c r="B64" s="146" t="s">
        <v>353</v>
      </c>
      <c r="C64" s="439" t="s">
        <v>365</v>
      </c>
      <c r="D64" s="436"/>
      <c r="E64" s="44"/>
      <c r="F64" s="44"/>
      <c r="G64" s="44"/>
      <c r="H64" s="44"/>
    </row>
    <row r="65" spans="1:8" ht="55.05" customHeight="1" x14ac:dyDescent="0.3">
      <c r="A65" s="151" t="s">
        <v>580</v>
      </c>
      <c r="B65" s="144" t="s">
        <v>353</v>
      </c>
      <c r="C65" s="435" t="s">
        <v>574</v>
      </c>
      <c r="D65" s="436"/>
      <c r="E65" s="44"/>
      <c r="F65" s="44"/>
      <c r="G65" s="44"/>
      <c r="H65" s="44"/>
    </row>
    <row r="66" spans="1:8" ht="55.05" customHeight="1" x14ac:dyDescent="0.3">
      <c r="A66" s="153" t="s">
        <v>578</v>
      </c>
      <c r="B66" s="146" t="s">
        <v>353</v>
      </c>
      <c r="C66" s="439" t="s">
        <v>366</v>
      </c>
      <c r="D66" s="436"/>
      <c r="E66" s="44"/>
      <c r="F66" s="44"/>
      <c r="G66" s="44"/>
      <c r="H66" s="44"/>
    </row>
    <row r="67" spans="1:8" ht="55.05" customHeight="1" x14ac:dyDescent="0.3">
      <c r="A67" s="151" t="s">
        <v>584</v>
      </c>
      <c r="B67" s="147" t="s">
        <v>341</v>
      </c>
      <c r="C67" s="435" t="s">
        <v>583</v>
      </c>
      <c r="D67" s="436"/>
      <c r="E67" s="44"/>
      <c r="F67" s="44"/>
      <c r="G67" s="44"/>
      <c r="H67" s="44"/>
    </row>
    <row r="68" spans="1:8" ht="55.05" customHeight="1" x14ac:dyDescent="0.3">
      <c r="A68" s="153" t="s">
        <v>582</v>
      </c>
      <c r="B68" s="154" t="s">
        <v>341</v>
      </c>
      <c r="C68" s="439" t="s">
        <v>575</v>
      </c>
      <c r="D68" s="436"/>
      <c r="E68" s="44"/>
      <c r="F68" s="44"/>
      <c r="G68" s="44"/>
      <c r="H68" s="44"/>
    </row>
    <row r="69" spans="1:8" ht="55.05" customHeight="1" x14ac:dyDescent="0.3">
      <c r="A69" s="151" t="s">
        <v>367</v>
      </c>
      <c r="B69" s="144" t="s">
        <v>353</v>
      </c>
      <c r="C69" s="435" t="s">
        <v>368</v>
      </c>
      <c r="D69" s="436"/>
      <c r="E69" s="44"/>
      <c r="F69" s="44"/>
      <c r="G69" s="44"/>
      <c r="H69" s="44"/>
    </row>
    <row r="70" spans="1:8" ht="55.05" customHeight="1" thickBot="1" x14ac:dyDescent="0.35">
      <c r="A70" s="155" t="s">
        <v>581</v>
      </c>
      <c r="B70" s="150" t="s">
        <v>341</v>
      </c>
      <c r="C70" s="442" t="s">
        <v>576</v>
      </c>
      <c r="D70" s="436"/>
      <c r="E70" s="44"/>
      <c r="F70" s="44"/>
      <c r="G70" s="44"/>
      <c r="H70" s="44"/>
    </row>
    <row r="71" spans="1:8" ht="7.95" customHeight="1" x14ac:dyDescent="0.3">
      <c r="A71" s="44"/>
      <c r="B71" s="44"/>
      <c r="C71" s="44"/>
      <c r="D71" s="44"/>
      <c r="E71" s="44"/>
      <c r="F71" s="44"/>
      <c r="G71" s="44"/>
      <c r="H71" s="44"/>
    </row>
    <row r="72" spans="1:8" ht="24" customHeight="1" x14ac:dyDescent="0.3">
      <c r="A72" s="10" t="s">
        <v>369</v>
      </c>
      <c r="B72" s="9"/>
      <c r="C72" s="9"/>
      <c r="D72" s="9"/>
      <c r="E72" s="9"/>
      <c r="F72" s="9"/>
      <c r="G72" s="9"/>
      <c r="H72" s="9"/>
    </row>
    <row r="73" spans="1:8" x14ac:dyDescent="0.3">
      <c r="A73" s="117" t="s">
        <v>370</v>
      </c>
      <c r="B73" s="118" t="s">
        <v>291</v>
      </c>
      <c r="C73" s="118" t="s">
        <v>371</v>
      </c>
      <c r="D73" s="119" t="s">
        <v>293</v>
      </c>
    </row>
    <row r="74" spans="1:8" x14ac:dyDescent="0.3">
      <c r="A74" s="82" t="s">
        <v>372</v>
      </c>
      <c r="B74" s="87">
        <f>'DCF Valuation'!H43</f>
        <v>1714.357875705836</v>
      </c>
      <c r="C74" s="87">
        <f>'DCF Valuation'!B28</f>
        <v>1965.9108215723525</v>
      </c>
      <c r="D74" s="88">
        <f>'DCF Valuation'!B37</f>
        <v>1915.4434782729115</v>
      </c>
    </row>
    <row r="75" spans="1:8" x14ac:dyDescent="0.3">
      <c r="A75" s="84" t="s">
        <v>373</v>
      </c>
      <c r="B75" s="120">
        <f>'Trading Comps'!D23</f>
        <v>783.75163146768693</v>
      </c>
      <c r="C75" s="120">
        <f>AVERAGE('Trading Comps'!D23,'Trading Comps'!D24)</f>
        <v>1487.409565229427</v>
      </c>
      <c r="D75" s="121">
        <f>'Trading Comps'!D24</f>
        <v>2191.0674989911672</v>
      </c>
    </row>
    <row r="76" spans="1:8" x14ac:dyDescent="0.3">
      <c r="A76" s="82" t="s">
        <v>374</v>
      </c>
      <c r="B76" s="87">
        <f>'Precedent Transactions'!B25</f>
        <v>781.45632746373246</v>
      </c>
      <c r="C76" s="87">
        <f>'Precedent Transactions'!C25</f>
        <v>1556.7191055161302</v>
      </c>
      <c r="D76" s="88">
        <f>'Precedent Transactions'!D25</f>
        <v>3107.2446616209249</v>
      </c>
    </row>
    <row r="77" spans="1:8" ht="15" thickBot="1" x14ac:dyDescent="0.35">
      <c r="A77" s="122" t="s">
        <v>375</v>
      </c>
      <c r="B77" s="123">
        <f>35*'Income Statement'!F29</f>
        <v>1423.6412345444064</v>
      </c>
      <c r="C77" s="123">
        <f>50*'Income Statement'!F29</f>
        <v>2033.7731922062951</v>
      </c>
      <c r="D77" s="124">
        <f>70*'Income Statement'!F29</f>
        <v>2847.2824690888128</v>
      </c>
    </row>
    <row r="78" spans="1:8" ht="7.95" customHeight="1" x14ac:dyDescent="0.3">
      <c r="A78" s="44"/>
      <c r="B78" s="44"/>
      <c r="C78" s="44"/>
      <c r="D78" s="44"/>
      <c r="E78" s="44"/>
      <c r="F78" s="44"/>
      <c r="G78" s="44"/>
      <c r="H78" s="44"/>
    </row>
    <row r="79" spans="1:8" x14ac:dyDescent="0.3">
      <c r="A79" s="59" t="s">
        <v>376</v>
      </c>
      <c r="B79" s="60">
        <f>Assumptions!B92</f>
        <v>2350</v>
      </c>
    </row>
    <row r="80" spans="1:8" ht="7.95" customHeight="1" x14ac:dyDescent="0.3">
      <c r="A80" s="44"/>
      <c r="B80" s="44"/>
      <c r="C80" s="44"/>
      <c r="D80" s="44"/>
      <c r="E80" s="44"/>
      <c r="F80" s="44"/>
      <c r="G80" s="44"/>
      <c r="H80" s="44"/>
    </row>
    <row r="81" spans="1:8" ht="24" customHeight="1" x14ac:dyDescent="0.3">
      <c r="A81" s="10" t="s">
        <v>623</v>
      </c>
      <c r="B81" s="9"/>
      <c r="C81" s="9"/>
      <c r="D81" s="9"/>
      <c r="E81" s="9"/>
      <c r="F81" s="9"/>
      <c r="G81" s="9"/>
      <c r="H81" s="9"/>
    </row>
    <row r="82" spans="1:8" ht="15" thickBot="1" x14ac:dyDescent="0.35">
      <c r="A82" s="61" t="s">
        <v>624</v>
      </c>
      <c r="B82" s="39"/>
      <c r="C82" s="39"/>
      <c r="D82" s="39"/>
      <c r="E82" s="39"/>
      <c r="F82" s="44"/>
      <c r="G82" s="44"/>
      <c r="H82" s="44"/>
    </row>
    <row r="83" spans="1:8" x14ac:dyDescent="0.3">
      <c r="A83" s="140" t="s">
        <v>370</v>
      </c>
      <c r="B83" s="141" t="s">
        <v>625</v>
      </c>
      <c r="C83" s="141" t="s">
        <v>591</v>
      </c>
      <c r="D83" s="141" t="s">
        <v>592</v>
      </c>
      <c r="E83" s="142" t="s">
        <v>626</v>
      </c>
      <c r="F83" s="44"/>
      <c r="G83" s="44"/>
      <c r="H83" s="44"/>
    </row>
    <row r="84" spans="1:8" x14ac:dyDescent="0.3">
      <c r="A84" s="86" t="s">
        <v>627</v>
      </c>
      <c r="B84" s="125">
        <f>'DCF Valuation'!B28</f>
        <v>1965.9108215723525</v>
      </c>
      <c r="C84" s="126">
        <v>0.4</v>
      </c>
      <c r="D84" s="87">
        <f>B84*C84</f>
        <v>786.36432862894105</v>
      </c>
      <c r="E84" s="127" t="s">
        <v>628</v>
      </c>
      <c r="F84" s="44"/>
      <c r="G84" s="44"/>
      <c r="H84" s="44"/>
    </row>
    <row r="85" spans="1:8" x14ac:dyDescent="0.3">
      <c r="A85" s="128" t="s">
        <v>629</v>
      </c>
      <c r="B85" s="129">
        <f>'Trading Comps'!D36</f>
        <v>1642.3394762637383</v>
      </c>
      <c r="C85" s="130">
        <v>0.3</v>
      </c>
      <c r="D85" s="120">
        <f>B85*C85</f>
        <v>492.7018428791215</v>
      </c>
      <c r="E85" s="131" t="s">
        <v>630</v>
      </c>
      <c r="F85" s="44"/>
      <c r="G85" s="44"/>
      <c r="H85" s="44"/>
    </row>
    <row r="86" spans="1:8" x14ac:dyDescent="0.3">
      <c r="A86" s="86" t="s">
        <v>631</v>
      </c>
      <c r="B86" s="125">
        <f>'Precedent Transactions'!D32</f>
        <v>1750.5348000292295</v>
      </c>
      <c r="C86" s="126">
        <v>0.3</v>
      </c>
      <c r="D86" s="87">
        <f>B86*C86</f>
        <v>525.16044000876877</v>
      </c>
      <c r="E86" s="127" t="s">
        <v>632</v>
      </c>
      <c r="F86" s="44"/>
      <c r="G86" s="44"/>
      <c r="H86" s="44"/>
    </row>
    <row r="87" spans="1:8" x14ac:dyDescent="0.3">
      <c r="A87" s="132" t="s">
        <v>593</v>
      </c>
      <c r="B87" s="133"/>
      <c r="C87" s="134">
        <f>SUM(C84:C86)</f>
        <v>1</v>
      </c>
      <c r="D87" s="133"/>
      <c r="E87" s="135"/>
      <c r="F87" s="44"/>
      <c r="G87" s="44"/>
      <c r="H87" s="44"/>
    </row>
    <row r="88" spans="1:8" ht="16.2" thickBot="1" x14ac:dyDescent="0.35">
      <c r="A88" s="136" t="s">
        <v>633</v>
      </c>
      <c r="B88" s="137"/>
      <c r="C88" s="137"/>
      <c r="D88" s="138">
        <f>SUM(D84:D86)</f>
        <v>1804.2266115168313</v>
      </c>
      <c r="E88" s="139"/>
      <c r="F88" s="44"/>
      <c r="G88" s="44"/>
      <c r="H88" s="44"/>
    </row>
    <row r="89" spans="1:8" ht="7.95" customHeight="1" x14ac:dyDescent="0.3">
      <c r="A89" s="44"/>
      <c r="B89" s="44"/>
      <c r="C89" s="44"/>
      <c r="D89" s="44"/>
      <c r="E89" s="44"/>
      <c r="F89" s="44"/>
      <c r="G89" s="44"/>
      <c r="H89" s="44"/>
    </row>
    <row r="90" spans="1:8" x14ac:dyDescent="0.3">
      <c r="A90" s="59" t="s">
        <v>100</v>
      </c>
      <c r="B90" s="63"/>
      <c r="C90" s="63"/>
      <c r="D90" s="60">
        <f>Assumptions!B92</f>
        <v>2350</v>
      </c>
      <c r="F90" s="44"/>
      <c r="G90" s="44"/>
      <c r="H90" s="44"/>
    </row>
    <row r="91" spans="1:8" x14ac:dyDescent="0.3">
      <c r="A91" s="64" t="s">
        <v>595</v>
      </c>
      <c r="B91" s="65"/>
      <c r="C91" s="65"/>
      <c r="D91" s="66">
        <f>D88/D90-1</f>
        <v>-0.23224399509922067</v>
      </c>
      <c r="E91" s="34"/>
      <c r="F91" s="44"/>
      <c r="G91" s="44"/>
      <c r="H91" s="44"/>
    </row>
    <row r="92" spans="1:8" x14ac:dyDescent="0.3">
      <c r="A92" s="67" t="s">
        <v>634</v>
      </c>
      <c r="B92" s="44"/>
      <c r="C92" s="44"/>
      <c r="D92" s="68">
        <f>D88/'Income Statement'!F29</f>
        <v>44.356632746239391</v>
      </c>
      <c r="F92" s="44"/>
      <c r="G92" s="44"/>
      <c r="H92" s="44"/>
    </row>
    <row r="93" spans="1:8" ht="24" customHeight="1" x14ac:dyDescent="0.3">
      <c r="A93" s="10" t="s">
        <v>377</v>
      </c>
      <c r="B93" s="9"/>
      <c r="C93" s="9"/>
      <c r="D93" s="9"/>
      <c r="E93" s="9"/>
      <c r="F93" s="9"/>
      <c r="G93" s="9"/>
      <c r="H93" s="9"/>
    </row>
    <row r="94" spans="1:8" ht="60" customHeight="1" x14ac:dyDescent="0.3">
      <c r="A94" s="156" t="s">
        <v>635</v>
      </c>
      <c r="B94" s="44"/>
      <c r="C94" s="44"/>
      <c r="D94" s="44"/>
      <c r="E94" s="44"/>
      <c r="F94" s="44"/>
      <c r="G94" s="44"/>
      <c r="H94" s="44"/>
    </row>
    <row r="95" spans="1:8" ht="60" customHeight="1" x14ac:dyDescent="0.3">
      <c r="A95" s="156" t="s">
        <v>470</v>
      </c>
      <c r="B95" s="44"/>
      <c r="C95" s="44"/>
      <c r="D95" s="44"/>
      <c r="E95" s="44"/>
      <c r="F95" s="44"/>
      <c r="G95" s="44"/>
      <c r="H95" s="44"/>
    </row>
    <row r="96" spans="1:8" ht="60" customHeight="1" x14ac:dyDescent="0.3">
      <c r="A96" s="157" t="s">
        <v>585</v>
      </c>
      <c r="B96" s="44"/>
      <c r="C96" s="44"/>
      <c r="D96" s="44"/>
      <c r="E96" s="44"/>
      <c r="F96" s="44"/>
      <c r="G96" s="44"/>
      <c r="H96" s="44"/>
    </row>
    <row r="97" spans="1:8" ht="7.95" customHeight="1" x14ac:dyDescent="0.3">
      <c r="A97" s="44"/>
      <c r="B97" s="44"/>
      <c r="C97" s="44"/>
      <c r="D97" s="44"/>
      <c r="E97" s="44"/>
      <c r="F97" s="44"/>
      <c r="G97" s="44"/>
      <c r="H97" s="44"/>
    </row>
    <row r="98" spans="1:8" ht="24" customHeight="1" x14ac:dyDescent="0.3">
      <c r="A98" s="10" t="s">
        <v>637</v>
      </c>
      <c r="B98" s="9"/>
      <c r="C98" s="9"/>
      <c r="D98" s="9"/>
      <c r="E98" s="9"/>
      <c r="F98" s="9"/>
      <c r="G98" s="9"/>
      <c r="H98" s="9"/>
    </row>
    <row r="99" spans="1:8" ht="7.95" customHeight="1" x14ac:dyDescent="0.3">
      <c r="A99" s="44"/>
      <c r="B99" s="44"/>
      <c r="C99" s="44"/>
      <c r="D99" s="44"/>
      <c r="E99" s="44"/>
      <c r="F99" s="44"/>
      <c r="G99" s="44"/>
      <c r="H99" s="44"/>
    </row>
    <row r="100" spans="1:8" x14ac:dyDescent="0.3">
      <c r="A100" s="158" t="s">
        <v>471</v>
      </c>
      <c r="B100" s="44"/>
      <c r="C100" s="44"/>
      <c r="D100" s="44"/>
      <c r="E100" s="44"/>
      <c r="F100" s="44"/>
      <c r="G100" s="44"/>
      <c r="H100" s="44"/>
    </row>
    <row r="101" spans="1:8" ht="70.2" customHeight="1" x14ac:dyDescent="0.3">
      <c r="A101" s="159" t="s">
        <v>636</v>
      </c>
      <c r="B101" s="44"/>
      <c r="C101" s="44"/>
      <c r="D101" s="44"/>
      <c r="E101" s="44"/>
      <c r="F101" s="44"/>
      <c r="G101" s="44"/>
      <c r="H101" s="44"/>
    </row>
    <row r="102" spans="1:8" ht="7.95" customHeight="1" x14ac:dyDescent="0.3">
      <c r="A102" s="160"/>
      <c r="B102" s="44"/>
      <c r="C102" s="44"/>
      <c r="D102" s="44"/>
      <c r="E102" s="44"/>
      <c r="F102" s="44"/>
      <c r="G102" s="44"/>
      <c r="H102" s="44"/>
    </row>
    <row r="103" spans="1:8" x14ac:dyDescent="0.3">
      <c r="A103" s="161" t="s">
        <v>472</v>
      </c>
      <c r="B103" s="44"/>
      <c r="C103" s="44"/>
      <c r="D103" s="44"/>
      <c r="E103" s="44"/>
      <c r="F103" s="44"/>
      <c r="G103" s="44"/>
      <c r="H103" s="44"/>
    </row>
    <row r="104" spans="1:8" ht="85.2" customHeight="1" x14ac:dyDescent="0.3">
      <c r="A104" s="162" t="s">
        <v>653</v>
      </c>
      <c r="B104" s="44"/>
      <c r="C104" s="44"/>
      <c r="D104" s="44"/>
      <c r="E104" s="44"/>
      <c r="F104" s="44"/>
      <c r="G104" s="44"/>
      <c r="H104" s="44"/>
    </row>
    <row r="105" spans="1:8" ht="7.95" customHeight="1" x14ac:dyDescent="0.3">
      <c r="A105" s="160"/>
      <c r="B105" s="44"/>
      <c r="C105" s="44"/>
      <c r="D105" s="44"/>
      <c r="E105" s="44"/>
      <c r="F105" s="44"/>
      <c r="G105" s="44"/>
      <c r="H105" s="44"/>
    </row>
    <row r="106" spans="1:8" x14ac:dyDescent="0.3">
      <c r="A106" s="158" t="s">
        <v>473</v>
      </c>
      <c r="B106" s="44"/>
      <c r="C106" s="44"/>
      <c r="D106" s="44"/>
      <c r="E106" s="44"/>
      <c r="F106" s="44"/>
      <c r="G106" s="44"/>
      <c r="H106" s="44"/>
    </row>
    <row r="107" spans="1:8" ht="60" customHeight="1" x14ac:dyDescent="0.3">
      <c r="A107" s="159" t="s">
        <v>474</v>
      </c>
      <c r="B107" s="44"/>
      <c r="C107" s="44"/>
      <c r="D107" s="44"/>
      <c r="E107" s="44"/>
      <c r="F107" s="44"/>
      <c r="G107" s="44"/>
      <c r="H107" s="44"/>
    </row>
    <row r="108" spans="1:8" ht="7.95" customHeight="1" x14ac:dyDescent="0.3">
      <c r="A108" s="160"/>
      <c r="B108" s="44"/>
      <c r="C108" s="44"/>
      <c r="D108" s="44"/>
      <c r="E108" s="44"/>
      <c r="F108" s="44"/>
      <c r="G108" s="44"/>
      <c r="H108" s="44"/>
    </row>
    <row r="109" spans="1:8" x14ac:dyDescent="0.3">
      <c r="A109" s="161" t="s">
        <v>475</v>
      </c>
      <c r="B109" s="44"/>
      <c r="C109" s="44"/>
      <c r="D109" s="44"/>
      <c r="E109" s="44"/>
      <c r="F109" s="44"/>
      <c r="G109" s="44"/>
      <c r="H109" s="44"/>
    </row>
    <row r="110" spans="1:8" ht="60" customHeight="1" x14ac:dyDescent="0.3">
      <c r="A110" s="162" t="s">
        <v>643</v>
      </c>
      <c r="B110" s="44"/>
      <c r="C110" s="44"/>
      <c r="D110" s="44"/>
      <c r="E110" s="44"/>
      <c r="F110" s="44"/>
      <c r="G110" s="44"/>
      <c r="H110" s="44"/>
    </row>
    <row r="111" spans="1:8" ht="7.95" customHeight="1" x14ac:dyDescent="0.3">
      <c r="A111" s="160"/>
      <c r="B111" s="44"/>
      <c r="C111" s="44"/>
      <c r="D111" s="44"/>
      <c r="E111" s="44"/>
      <c r="F111" s="44"/>
      <c r="G111" s="44"/>
      <c r="H111" s="44"/>
    </row>
    <row r="112" spans="1:8" x14ac:dyDescent="0.3">
      <c r="A112" s="158" t="s">
        <v>476</v>
      </c>
      <c r="B112" s="44"/>
      <c r="C112" s="44"/>
      <c r="D112" s="44"/>
      <c r="E112" s="44"/>
      <c r="F112" s="44"/>
      <c r="G112" s="44"/>
      <c r="H112" s="44"/>
    </row>
    <row r="113" spans="1:12" ht="60" customHeight="1" x14ac:dyDescent="0.3">
      <c r="A113" s="159" t="s">
        <v>644</v>
      </c>
      <c r="B113" s="44"/>
      <c r="C113" s="44"/>
      <c r="D113" s="44"/>
      <c r="E113" s="44"/>
      <c r="F113" s="44"/>
      <c r="G113" s="44"/>
      <c r="H113" s="44"/>
    </row>
    <row r="124" spans="1:12" x14ac:dyDescent="0.3">
      <c r="E124" s="18"/>
    </row>
    <row r="125" spans="1:12" x14ac:dyDescent="0.3">
      <c r="F125" s="16"/>
      <c r="G125" s="16"/>
      <c r="H125" s="16"/>
      <c r="I125" s="16"/>
      <c r="J125" s="16"/>
      <c r="K125" s="16"/>
      <c r="L125" s="16"/>
    </row>
    <row r="126" spans="1:12" x14ac:dyDescent="0.3">
      <c r="F126" s="16"/>
      <c r="G126" s="16"/>
      <c r="H126" s="16"/>
      <c r="I126" s="16"/>
      <c r="J126" s="16"/>
      <c r="K126" s="16"/>
      <c r="L126" s="16"/>
    </row>
    <row r="127" spans="1:12" x14ac:dyDescent="0.3">
      <c r="F127" s="16"/>
      <c r="G127" s="16"/>
      <c r="H127" s="16"/>
      <c r="I127" s="16"/>
      <c r="J127" s="16"/>
      <c r="K127" s="16"/>
      <c r="L127" s="16"/>
    </row>
    <row r="128" spans="1:12" x14ac:dyDescent="0.3">
      <c r="F128" s="16"/>
      <c r="G128" s="16"/>
      <c r="H128" s="16"/>
      <c r="I128" s="16"/>
      <c r="J128" s="16"/>
      <c r="K128" s="16"/>
      <c r="L128" s="16"/>
    </row>
    <row r="129" spans="6:12" x14ac:dyDescent="0.3">
      <c r="F129" s="16"/>
      <c r="G129" s="16"/>
      <c r="H129" s="16"/>
      <c r="I129" s="16"/>
      <c r="J129" s="16"/>
      <c r="K129" s="16"/>
      <c r="L129" s="16"/>
    </row>
    <row r="130" spans="6:12" x14ac:dyDescent="0.3">
      <c r="F130" s="16"/>
      <c r="G130" s="16"/>
      <c r="H130" s="16"/>
      <c r="I130" s="16"/>
      <c r="J130" s="16"/>
      <c r="K130" s="16"/>
      <c r="L130" s="16"/>
    </row>
    <row r="131" spans="6:12" x14ac:dyDescent="0.3">
      <c r="F131" s="16"/>
      <c r="G131" s="16"/>
      <c r="H131" s="16"/>
      <c r="I131" s="16"/>
      <c r="J131" s="16"/>
      <c r="K131" s="16"/>
      <c r="L131" s="16"/>
    </row>
  </sheetData>
  <mergeCells count="27">
    <mergeCell ref="C65:D65"/>
    <mergeCell ref="C64:D64"/>
    <mergeCell ref="C63:D63"/>
    <mergeCell ref="C55:D55"/>
    <mergeCell ref="C56:D56"/>
    <mergeCell ref="C57:D57"/>
    <mergeCell ref="C58:D58"/>
    <mergeCell ref="C59:D59"/>
    <mergeCell ref="C70:D70"/>
    <mergeCell ref="C69:D69"/>
    <mergeCell ref="C68:D68"/>
    <mergeCell ref="C67:D67"/>
    <mergeCell ref="C66:D66"/>
    <mergeCell ref="D29:E29"/>
    <mergeCell ref="C54:D54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C52:D52"/>
    <mergeCell ref="C53:D53"/>
    <mergeCell ref="C51:D51"/>
  </mergeCells>
  <conditionalFormatting sqref="B31:H37">
    <cfRule type="colorScale" priority="1">
      <colorScale>
        <cfvo type="min"/>
        <cfvo type="percentile" val="50"/>
        <cfvo type="max"/>
        <color rgb="FFF8D7DA"/>
        <color rgb="FFFFF3CD"/>
        <color rgb="FFD4EDDA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Cover</vt:lpstr>
      <vt:lpstr>Revenue Build</vt:lpstr>
      <vt:lpstr>Assumptions</vt:lpstr>
      <vt:lpstr>Income Statement</vt:lpstr>
      <vt:lpstr>Balance Sheet</vt:lpstr>
      <vt:lpstr>Cash Flow Statement</vt:lpstr>
      <vt:lpstr>Working Capital</vt:lpstr>
      <vt:lpstr>Debt Schedule</vt:lpstr>
      <vt:lpstr>DCF Valuation</vt:lpstr>
      <vt:lpstr>Trading Comps</vt:lpstr>
      <vt:lpstr>Precedent Transactions</vt:lpstr>
      <vt:lpstr>Returns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Vijay</dc:creator>
  <cp:lastModifiedBy>Harsh Vijay</cp:lastModifiedBy>
  <dcterms:created xsi:type="dcterms:W3CDTF">2026-02-23T09:13:52Z</dcterms:created>
  <dcterms:modified xsi:type="dcterms:W3CDTF">2026-03-09T14:30:27Z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f4cae073-9e34-462a-8160-ac1e837b3429</vt:lpwstr>
  </property>
</Properties>
</file>